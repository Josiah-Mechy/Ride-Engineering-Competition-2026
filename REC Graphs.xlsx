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ia\Downloads\"/>
    </mc:Choice>
  </mc:AlternateContent>
  <xr:revisionPtr revIDLastSave="0" documentId="13_ncr:1_{EE0B3E0C-17BD-4587-80B5-2E3C305324ED}" xr6:coauthVersionLast="47" xr6:coauthVersionMax="47" xr10:uidLastSave="{00000000-0000-0000-0000-000000000000}"/>
  <bookViews>
    <workbookView xWindow="1950" yWindow="720" windowWidth="14610" windowHeight="15480" xr2:uid="{00000000-000D-0000-FFFF-FFFF00000000}"/>
  </bookViews>
  <sheets>
    <sheet name="Accel-Charts" sheetId="1" r:id="rId1"/>
    <sheet name="Eyes Calculations" sheetId="5" r:id="rId2"/>
    <sheet name="Table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R3" i="1"/>
  <c r="O3" i="1"/>
  <c r="L3" i="1"/>
  <c r="I3" i="1"/>
  <c r="F3" i="1"/>
  <c r="P3" i="1" s="1"/>
  <c r="J36" i="1" s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" i="6"/>
  <c r="L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" i="6"/>
  <c r="H2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J5" i="6"/>
  <c r="I5" i="6"/>
  <c r="J4" i="6"/>
  <c r="I4" i="6"/>
  <c r="J3" i="6"/>
  <c r="J2" i="6"/>
  <c r="I2" i="6"/>
  <c r="I3" i="6"/>
  <c r="E9" i="6"/>
  <c r="E8" i="6"/>
  <c r="E11" i="6" s="1"/>
  <c r="E4" i="6"/>
  <c r="E7" i="6" s="1"/>
  <c r="E10" i="6" s="1"/>
  <c r="E14" i="6" s="1"/>
  <c r="E18" i="6" s="1"/>
  <c r="E20" i="6" s="1"/>
  <c r="E22" i="6" s="1"/>
  <c r="S3" i="5"/>
  <c r="S4" i="5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W43" i="1"/>
  <c r="W44" i="1"/>
  <c r="V53" i="1"/>
  <c r="Y43" i="1"/>
  <c r="X43" i="1"/>
  <c r="C42" i="1"/>
  <c r="A36" i="1"/>
  <c r="T44" i="1"/>
  <c r="T45" i="1" s="1"/>
  <c r="X45" i="1" s="1"/>
  <c r="AB37" i="1"/>
  <c r="AB36" i="1"/>
  <c r="W37" i="1"/>
  <c r="V43" i="1" s="1"/>
  <c r="W36" i="1"/>
  <c r="Y36" i="1"/>
  <c r="I37" i="1"/>
  <c r="C37" i="1" s="1"/>
  <c r="I38" i="1"/>
  <c r="C38" i="1" s="1"/>
  <c r="I39" i="1"/>
  <c r="C39" i="1" s="1"/>
  <c r="I40" i="1"/>
  <c r="C40" i="1" s="1"/>
  <c r="I41" i="1"/>
  <c r="C41" i="1" s="1"/>
  <c r="I42" i="1"/>
  <c r="I43" i="1"/>
  <c r="C43" i="1" s="1"/>
  <c r="I44" i="1"/>
  <c r="C44" i="1" s="1"/>
  <c r="I45" i="1"/>
  <c r="C45" i="1" s="1"/>
  <c r="I46" i="1"/>
  <c r="C46" i="1" s="1"/>
  <c r="I47" i="1"/>
  <c r="C47" i="1" s="1"/>
  <c r="I48" i="1"/>
  <c r="C48" i="1" s="1"/>
  <c r="I49" i="1"/>
  <c r="C49" i="1" s="1"/>
  <c r="I50" i="1"/>
  <c r="C50" i="1" s="1"/>
  <c r="I51" i="1"/>
  <c r="C51" i="1" s="1"/>
  <c r="I52" i="1"/>
  <c r="C52" i="1" s="1"/>
  <c r="I53" i="1"/>
  <c r="C53" i="1" s="1"/>
  <c r="I54" i="1"/>
  <c r="C54" i="1" s="1"/>
  <c r="I55" i="1"/>
  <c r="C55" i="1" s="1"/>
  <c r="I56" i="1"/>
  <c r="C56" i="1" s="1"/>
  <c r="I57" i="1"/>
  <c r="C57" i="1" s="1"/>
  <c r="I36" i="1"/>
  <c r="C36" i="1" s="1"/>
  <c r="H41" i="1"/>
  <c r="B41" i="1" s="1"/>
  <c r="H42" i="1"/>
  <c r="B42" i="1" s="1"/>
  <c r="H43" i="1"/>
  <c r="B43" i="1" s="1"/>
  <c r="H44" i="1"/>
  <c r="B44" i="1" s="1"/>
  <c r="H45" i="1"/>
  <c r="B45" i="1" s="1"/>
  <c r="H46" i="1"/>
  <c r="B46" i="1" s="1"/>
  <c r="H47" i="1"/>
  <c r="B47" i="1" s="1"/>
  <c r="H48" i="1"/>
  <c r="B48" i="1" s="1"/>
  <c r="H49" i="1"/>
  <c r="B49" i="1" s="1"/>
  <c r="H50" i="1"/>
  <c r="B50" i="1" s="1"/>
  <c r="H51" i="1"/>
  <c r="B51" i="1" s="1"/>
  <c r="H52" i="1"/>
  <c r="B52" i="1" s="1"/>
  <c r="H53" i="1"/>
  <c r="B53" i="1" s="1"/>
  <c r="H54" i="1"/>
  <c r="B54" i="1" s="1"/>
  <c r="H55" i="1"/>
  <c r="B55" i="1" s="1"/>
  <c r="H56" i="1"/>
  <c r="B56" i="1" s="1"/>
  <c r="H57" i="1"/>
  <c r="B57" i="1" s="1"/>
  <c r="H37" i="1"/>
  <c r="B37" i="1" s="1"/>
  <c r="H38" i="1"/>
  <c r="B38" i="1" s="1"/>
  <c r="H39" i="1"/>
  <c r="B39" i="1" s="1"/>
  <c r="H40" i="1"/>
  <c r="B40" i="1" s="1"/>
  <c r="H36" i="1"/>
  <c r="B36" i="1" s="1"/>
  <c r="X14" i="1"/>
  <c r="D2" i="1"/>
  <c r="G2" i="1"/>
  <c r="J2" i="1" s="1"/>
  <c r="M2" i="1" s="1"/>
  <c r="P2" i="1" s="1"/>
  <c r="S2" i="1" s="1"/>
  <c r="F2" i="1"/>
  <c r="I2" i="1" s="1"/>
  <c r="L4" i="1" l="1"/>
  <c r="O4" i="1"/>
  <c r="I4" i="1"/>
  <c r="R4" i="1"/>
  <c r="F4" i="1"/>
  <c r="P4" i="1" s="1"/>
  <c r="J37" i="1" s="1"/>
  <c r="K37" i="1" s="1"/>
  <c r="A5" i="1"/>
  <c r="X44" i="1"/>
  <c r="Y44" i="1"/>
  <c r="Y45" i="1"/>
  <c r="T46" i="1"/>
  <c r="W45" i="1"/>
  <c r="V45" i="1"/>
  <c r="U45" i="1"/>
  <c r="V44" i="1"/>
  <c r="U43" i="1"/>
  <c r="U44" i="1"/>
  <c r="N54" i="1"/>
  <c r="N39" i="1"/>
  <c r="N38" i="1"/>
  <c r="N37" i="1"/>
  <c r="O36" i="1"/>
  <c r="N36" i="1"/>
  <c r="N46" i="1"/>
  <c r="N40" i="1"/>
  <c r="N45" i="1"/>
  <c r="N44" i="1"/>
  <c r="K36" i="1"/>
  <c r="N55" i="1"/>
  <c r="N53" i="1"/>
  <c r="N57" i="1"/>
  <c r="N56" i="1"/>
  <c r="N52" i="1"/>
  <c r="N51" i="1"/>
  <c r="N50" i="1"/>
  <c r="N49" i="1"/>
  <c r="N48" i="1"/>
  <c r="N47" i="1"/>
  <c r="N43" i="1"/>
  <c r="N42" i="1"/>
  <c r="N41" i="1"/>
  <c r="L2" i="1"/>
  <c r="O2" i="1" s="1"/>
  <c r="R2" i="1" s="1"/>
  <c r="L5" i="1" l="1"/>
  <c r="I5" i="1"/>
  <c r="O5" i="1"/>
  <c r="R5" i="1"/>
  <c r="F5" i="1"/>
  <c r="P5" i="1" s="1"/>
  <c r="J38" i="1" s="1"/>
  <c r="A6" i="1"/>
  <c r="O37" i="1"/>
  <c r="Y46" i="1"/>
  <c r="X46" i="1"/>
  <c r="A37" i="1"/>
  <c r="T47" i="1"/>
  <c r="W46" i="1"/>
  <c r="U46" i="1"/>
  <c r="V46" i="1"/>
  <c r="A7" i="1" l="1"/>
  <c r="I6" i="1"/>
  <c r="L6" i="1"/>
  <c r="O6" i="1"/>
  <c r="R6" i="1"/>
  <c r="F6" i="1"/>
  <c r="P6" i="1" s="1"/>
  <c r="J39" i="1" s="1"/>
  <c r="K38" i="1"/>
  <c r="O38" i="1"/>
  <c r="Y47" i="1"/>
  <c r="X47" i="1"/>
  <c r="T48" i="1"/>
  <c r="W47" i="1"/>
  <c r="U47" i="1"/>
  <c r="V47" i="1"/>
  <c r="A38" i="1"/>
  <c r="O39" i="1" l="1"/>
  <c r="K39" i="1"/>
  <c r="A8" i="1"/>
  <c r="I7" i="1"/>
  <c r="R7" i="1"/>
  <c r="F7" i="1"/>
  <c r="P7" i="1" s="1"/>
  <c r="J40" i="1" s="1"/>
  <c r="L7" i="1"/>
  <c r="O7" i="1"/>
  <c r="X48" i="1"/>
  <c r="Y48" i="1"/>
  <c r="A39" i="1"/>
  <c r="T49" i="1"/>
  <c r="W48" i="1"/>
  <c r="V48" i="1"/>
  <c r="U48" i="1"/>
  <c r="O40" i="1" l="1"/>
  <c r="K40" i="1"/>
  <c r="R8" i="1"/>
  <c r="F8" i="1"/>
  <c r="P8" i="1" s="1"/>
  <c r="J41" i="1" s="1"/>
  <c r="A9" i="1"/>
  <c r="I8" i="1"/>
  <c r="L8" i="1"/>
  <c r="O8" i="1"/>
  <c r="T50" i="1"/>
  <c r="X49" i="1"/>
  <c r="Y49" i="1"/>
  <c r="W49" i="1"/>
  <c r="U49" i="1"/>
  <c r="V49" i="1"/>
  <c r="A40" i="1"/>
  <c r="R9" i="1" l="1"/>
  <c r="F9" i="1"/>
  <c r="P9" i="1" s="1"/>
  <c r="J42" i="1" s="1"/>
  <c r="L9" i="1"/>
  <c r="O9" i="1"/>
  <c r="A10" i="1"/>
  <c r="I9" i="1"/>
  <c r="O41" i="1"/>
  <c r="K41" i="1"/>
  <c r="U50" i="1"/>
  <c r="V50" i="1"/>
  <c r="W50" i="1"/>
  <c r="X50" i="1"/>
  <c r="Y50" i="1"/>
  <c r="T51" i="1"/>
  <c r="A41" i="1"/>
  <c r="O10" i="1" l="1"/>
  <c r="R10" i="1"/>
  <c r="F10" i="1"/>
  <c r="P10" i="1" s="1"/>
  <c r="J43" i="1" s="1"/>
  <c r="L10" i="1"/>
  <c r="A11" i="1"/>
  <c r="I10" i="1"/>
  <c r="K42" i="1"/>
  <c r="O42" i="1"/>
  <c r="V51" i="1"/>
  <c r="X51" i="1"/>
  <c r="Y51" i="1"/>
  <c r="U51" i="1"/>
  <c r="W51" i="1"/>
  <c r="T52" i="1"/>
  <c r="A42" i="1"/>
  <c r="O11" i="1" l="1"/>
  <c r="R11" i="1"/>
  <c r="F11" i="1"/>
  <c r="P11" i="1" s="1"/>
  <c r="J44" i="1" s="1"/>
  <c r="A12" i="1"/>
  <c r="L11" i="1"/>
  <c r="I11" i="1"/>
  <c r="K43" i="1"/>
  <c r="O43" i="1"/>
  <c r="T53" i="1"/>
  <c r="U52" i="1"/>
  <c r="V52" i="1"/>
  <c r="W52" i="1"/>
  <c r="X52" i="1"/>
  <c r="Y52" i="1"/>
  <c r="A43" i="1"/>
  <c r="L12" i="1" l="1"/>
  <c r="A13" i="1"/>
  <c r="O12" i="1"/>
  <c r="I12" i="1"/>
  <c r="R12" i="1"/>
  <c r="F12" i="1"/>
  <c r="P12" i="1" s="1"/>
  <c r="J45" i="1" s="1"/>
  <c r="O44" i="1"/>
  <c r="K44" i="1"/>
  <c r="T54" i="1"/>
  <c r="W53" i="1"/>
  <c r="Y53" i="1"/>
  <c r="U53" i="1"/>
  <c r="X53" i="1"/>
  <c r="A44" i="1"/>
  <c r="O45" i="1" l="1"/>
  <c r="K45" i="1"/>
  <c r="A14" i="1"/>
  <c r="L13" i="1"/>
  <c r="F13" i="1"/>
  <c r="P13" i="1" s="1"/>
  <c r="J46" i="1" s="1"/>
  <c r="O13" i="1"/>
  <c r="I13" i="1"/>
  <c r="R13" i="1"/>
  <c r="X54" i="1"/>
  <c r="Y54" i="1"/>
  <c r="U54" i="1"/>
  <c r="V54" i="1"/>
  <c r="W54" i="1"/>
  <c r="T55" i="1"/>
  <c r="A45" i="1"/>
  <c r="O46" i="1" l="1"/>
  <c r="K46" i="1"/>
  <c r="A15" i="1"/>
  <c r="I14" i="1"/>
  <c r="L14" i="1"/>
  <c r="R14" i="1"/>
  <c r="F14" i="1"/>
  <c r="P14" i="1" s="1"/>
  <c r="J47" i="1" s="1"/>
  <c r="O14" i="1"/>
  <c r="U55" i="1"/>
  <c r="W55" i="1"/>
  <c r="T56" i="1"/>
  <c r="V55" i="1"/>
  <c r="X55" i="1"/>
  <c r="Y55" i="1"/>
  <c r="A46" i="1"/>
  <c r="O47" i="1" l="1"/>
  <c r="K47" i="1"/>
  <c r="A16" i="1"/>
  <c r="I15" i="1"/>
  <c r="O15" i="1"/>
  <c r="R15" i="1"/>
  <c r="L15" i="1"/>
  <c r="F15" i="1"/>
  <c r="P15" i="1" s="1"/>
  <c r="J48" i="1" s="1"/>
  <c r="Y56" i="1"/>
  <c r="T57" i="1"/>
  <c r="U56" i="1"/>
  <c r="V56" i="1"/>
  <c r="W56" i="1"/>
  <c r="X56" i="1"/>
  <c r="A47" i="1"/>
  <c r="K48" i="1" l="1"/>
  <c r="O48" i="1"/>
  <c r="R16" i="1"/>
  <c r="F16" i="1"/>
  <c r="P16" i="1" s="1"/>
  <c r="J49" i="1" s="1"/>
  <c r="A17" i="1"/>
  <c r="I16" i="1"/>
  <c r="L16" i="1"/>
  <c r="O16" i="1"/>
  <c r="T58" i="1"/>
  <c r="Y57" i="1"/>
  <c r="U57" i="1"/>
  <c r="V57" i="1"/>
  <c r="W57" i="1"/>
  <c r="X57" i="1"/>
  <c r="A48" i="1"/>
  <c r="R17" i="1" l="1"/>
  <c r="F17" i="1"/>
  <c r="P17" i="1" s="1"/>
  <c r="J50" i="1" s="1"/>
  <c r="A18" i="1"/>
  <c r="I17" i="1"/>
  <c r="L17" i="1"/>
  <c r="O17" i="1"/>
  <c r="K49" i="1"/>
  <c r="O49" i="1"/>
  <c r="T59" i="1"/>
  <c r="Y58" i="1"/>
  <c r="V58" i="1"/>
  <c r="W58" i="1"/>
  <c r="X58" i="1"/>
  <c r="U58" i="1"/>
  <c r="A49" i="1"/>
  <c r="O18" i="1" l="1"/>
  <c r="R18" i="1"/>
  <c r="F18" i="1"/>
  <c r="P18" i="1" s="1"/>
  <c r="J51" i="1" s="1"/>
  <c r="A19" i="1"/>
  <c r="I18" i="1"/>
  <c r="L18" i="1"/>
  <c r="O50" i="1"/>
  <c r="K50" i="1"/>
  <c r="V59" i="1"/>
  <c r="T60" i="1"/>
  <c r="U59" i="1"/>
  <c r="W59" i="1"/>
  <c r="X59" i="1"/>
  <c r="Y59" i="1"/>
  <c r="A50" i="1"/>
  <c r="O19" i="1" l="1"/>
  <c r="A20" i="1"/>
  <c r="I19" i="1"/>
  <c r="R19" i="1"/>
  <c r="F19" i="1"/>
  <c r="P19" i="1" s="1"/>
  <c r="J52" i="1" s="1"/>
  <c r="L19" i="1"/>
  <c r="K51" i="1"/>
  <c r="O51" i="1"/>
  <c r="W60" i="1"/>
  <c r="X60" i="1"/>
  <c r="Y60" i="1"/>
  <c r="T61" i="1"/>
  <c r="V60" i="1"/>
  <c r="U60" i="1"/>
  <c r="A51" i="1"/>
  <c r="K52" i="1" l="1"/>
  <c r="O52" i="1"/>
  <c r="L20" i="1"/>
  <c r="A21" i="1"/>
  <c r="O20" i="1"/>
  <c r="I20" i="1"/>
  <c r="R20" i="1"/>
  <c r="F20" i="1"/>
  <c r="P20" i="1" s="1"/>
  <c r="J53" i="1" s="1"/>
  <c r="W61" i="1"/>
  <c r="T62" i="1"/>
  <c r="X61" i="1"/>
  <c r="Y61" i="1"/>
  <c r="U61" i="1"/>
  <c r="V61" i="1"/>
  <c r="A52" i="1"/>
  <c r="O53" i="1" l="1"/>
  <c r="K53" i="1"/>
  <c r="L21" i="1"/>
  <c r="A22" i="1"/>
  <c r="R21" i="1"/>
  <c r="O21" i="1"/>
  <c r="F21" i="1"/>
  <c r="P21" i="1" s="1"/>
  <c r="J54" i="1" s="1"/>
  <c r="I21" i="1"/>
  <c r="T63" i="1"/>
  <c r="X62" i="1"/>
  <c r="Y62" i="1"/>
  <c r="U62" i="1"/>
  <c r="V62" i="1"/>
  <c r="W62" i="1"/>
  <c r="A53" i="1"/>
  <c r="K54" i="1" l="1"/>
  <c r="O54" i="1"/>
  <c r="A23" i="1"/>
  <c r="I22" i="1"/>
  <c r="L22" i="1"/>
  <c r="R22" i="1"/>
  <c r="O22" i="1"/>
  <c r="F22" i="1"/>
  <c r="P22" i="1" s="1"/>
  <c r="J55" i="1" s="1"/>
  <c r="T64" i="1"/>
  <c r="X63" i="1"/>
  <c r="Y63" i="1"/>
  <c r="U63" i="1"/>
  <c r="V63" i="1"/>
  <c r="W63" i="1"/>
  <c r="A54" i="1"/>
  <c r="K55" i="1" l="1"/>
  <c r="O55" i="1"/>
  <c r="A24" i="1"/>
  <c r="I23" i="1"/>
  <c r="F23" i="1"/>
  <c r="P23" i="1" s="1"/>
  <c r="J56" i="1" s="1"/>
  <c r="L23" i="1"/>
  <c r="R23" i="1"/>
  <c r="O23" i="1"/>
  <c r="Y64" i="1"/>
  <c r="U64" i="1"/>
  <c r="V64" i="1"/>
  <c r="X64" i="1"/>
  <c r="T65" i="1"/>
  <c r="W64" i="1"/>
  <c r="A55" i="1"/>
  <c r="K56" i="1" l="1"/>
  <c r="O56" i="1"/>
  <c r="R24" i="1"/>
  <c r="F24" i="1"/>
  <c r="P24" i="1" s="1"/>
  <c r="J57" i="1" s="1"/>
  <c r="I24" i="1"/>
  <c r="O24" i="1"/>
  <c r="L24" i="1"/>
  <c r="T66" i="1"/>
  <c r="V65" i="1"/>
  <c r="W65" i="1"/>
  <c r="X65" i="1"/>
  <c r="U65" i="1"/>
  <c r="Y65" i="1"/>
  <c r="A56" i="1"/>
  <c r="O57" i="1" l="1"/>
  <c r="K57" i="1"/>
  <c r="T67" i="1"/>
  <c r="W66" i="1"/>
  <c r="U66" i="1"/>
  <c r="V66" i="1"/>
  <c r="X66" i="1"/>
  <c r="Y66" i="1"/>
  <c r="A57" i="1"/>
  <c r="U67" i="1" l="1"/>
  <c r="W67" i="1"/>
  <c r="V67" i="1"/>
  <c r="Y67" i="1"/>
  <c r="X67" i="1"/>
</calcChain>
</file>

<file path=xl/sharedStrings.xml><?xml version="1.0" encoding="utf-8"?>
<sst xmlns="http://schemas.openxmlformats.org/spreadsheetml/2006/main" count="135" uniqueCount="112">
  <si>
    <t>Eyes Front</t>
  </si>
  <si>
    <t>Time in (S)</t>
  </si>
  <si>
    <t>Eyes Back</t>
  </si>
  <si>
    <t>Eyes right</t>
  </si>
  <si>
    <t>Eyes Left</t>
  </si>
  <si>
    <t>Eyes Up</t>
  </si>
  <si>
    <t>Eyes Down</t>
  </si>
  <si>
    <t>Eyes Front (-Gx) Limits</t>
  </si>
  <si>
    <t>Eyes Back(+Gx) Limits</t>
  </si>
  <si>
    <t>Duration [s]</t>
  </si>
  <si>
    <t>G-forces</t>
  </si>
  <si>
    <t>Duration (s)</t>
  </si>
  <si>
    <t>Base Case</t>
  </si>
  <si>
    <t>Duration(s)</t>
  </si>
  <si>
    <t>Upper Torso</t>
  </si>
  <si>
    <t>Prone Restraint</t>
  </si>
  <si>
    <t>Limit (+Gx​)</t>
  </si>
  <si>
    <t>Eyes Right (+Gy) Limit</t>
  </si>
  <si>
    <t>Eyes Left (-Gy) Limit</t>
  </si>
  <si>
    <t>positive-Forces</t>
  </si>
  <si>
    <t>Negative-Forces</t>
  </si>
  <si>
    <t>Eyes Up (-Gz) Limit</t>
  </si>
  <si>
    <t>Eyes Down(+Gz)</t>
  </si>
  <si>
    <t>Ext-Negative Forces</t>
  </si>
  <si>
    <t>Positive-Forces</t>
  </si>
  <si>
    <t>Time</t>
  </si>
  <si>
    <t>Times</t>
  </si>
  <si>
    <t>Gx</t>
  </si>
  <si>
    <t>Gy</t>
  </si>
  <si>
    <t>Jx</t>
  </si>
  <si>
    <t>Jy</t>
  </si>
  <si>
    <t>Gx Combined</t>
  </si>
  <si>
    <t>Gy combined</t>
  </si>
  <si>
    <t>Gz Combined</t>
  </si>
  <si>
    <t>Resultant G</t>
  </si>
  <si>
    <t>Gx/GY Combined</t>
  </si>
  <si>
    <t>Gx/Gz</t>
  </si>
  <si>
    <t>Section</t>
  </si>
  <si>
    <t>Max Gx</t>
  </si>
  <si>
    <t>Max Gy</t>
  </si>
  <si>
    <t>Upper Torso/BASE</t>
  </si>
  <si>
    <t>Normal</t>
  </si>
  <si>
    <t>Prone</t>
  </si>
  <si>
    <t>Extended</t>
  </si>
  <si>
    <t>Degrees</t>
  </si>
  <si>
    <t>Max Gx Up</t>
  </si>
  <si>
    <t>Max Gx prone</t>
  </si>
  <si>
    <t>Max Gz Normal</t>
  </si>
  <si>
    <t>Max Gz Ext</t>
  </si>
  <si>
    <t>Speeds</t>
  </si>
  <si>
    <t>N-Forces</t>
  </si>
  <si>
    <t>L-Forces</t>
  </si>
  <si>
    <t>Time in section (s)</t>
  </si>
  <si>
    <t>Time (s)</t>
  </si>
  <si>
    <t>Eyes Back (+Gx​)</t>
  </si>
  <si>
    <t>Eyes Front (−Gx​)</t>
  </si>
  <si>
    <t>Eyes Right (+Gy​)</t>
  </si>
  <si>
    <t>Eyes Left (−Gy​)</t>
  </si>
  <si>
    <t>Eyes Down (+Gz​)</t>
  </si>
  <si>
    <t>Eyes Up (−Gz​)</t>
  </si>
  <si>
    <t>Station Straight</t>
  </si>
  <si>
    <t>Station Curve Down</t>
  </si>
  <si>
    <t>Station - Straight</t>
  </si>
  <si>
    <t>Station Curve Up</t>
  </si>
  <si>
    <t>Lifthill Entry Arc</t>
  </si>
  <si>
    <t>Vertical Lifthill</t>
  </si>
  <si>
    <t>Upper Crest Arc 1</t>
  </si>
  <si>
    <t>Upper Crest Arc 2</t>
  </si>
  <si>
    <t>Drop Curvature 1</t>
  </si>
  <si>
    <t>Drop Curvature 2</t>
  </si>
  <si>
    <t>1st Turn (Wide)</t>
  </si>
  <si>
    <t>Curve Down Straight</t>
  </si>
  <si>
    <t>Straight After Drop</t>
  </si>
  <si>
    <t>Curve Up</t>
  </si>
  <si>
    <t>Turn into Helix</t>
  </si>
  <si>
    <t>Curve Down</t>
  </si>
  <si>
    <t>Straight into Helix</t>
  </si>
  <si>
    <t>Curve Down 2</t>
  </si>
  <si>
    <t>Helix (Main)</t>
  </si>
  <si>
    <t>Curve Up Out of Helix</t>
  </si>
  <si>
    <t>Turn out of Helix</t>
  </si>
  <si>
    <t>Short Exit Straight</t>
  </si>
  <si>
    <t>45 Degree Turn Part 1</t>
  </si>
  <si>
    <t>45 Degree Turn Part 2</t>
  </si>
  <si>
    <t>Turn into Magnetic</t>
  </si>
  <si>
    <t>Brake Section</t>
  </si>
  <si>
    <t>Turn into Station</t>
  </si>
  <si>
    <t>`</t>
  </si>
  <si>
    <t>Speed (m/s)</t>
  </si>
  <si>
    <t>Lateral</t>
  </si>
  <si>
    <t>Station curve down</t>
  </si>
  <si>
    <t>Station-straight</t>
  </si>
  <si>
    <t>Station curve up</t>
  </si>
  <si>
    <t>lifthill entry arc</t>
  </si>
  <si>
    <t>Vertical lifthill</t>
  </si>
  <si>
    <t>Upper crest arc 1</t>
  </si>
  <si>
    <t>Upper crest arc 2</t>
  </si>
  <si>
    <t>Drop curvature 1</t>
  </si>
  <si>
    <t>Drop curvature 2</t>
  </si>
  <si>
    <t>1st Turn (wide)</t>
  </si>
  <si>
    <t>Curve down straight</t>
  </si>
  <si>
    <t>Straight after drop</t>
  </si>
  <si>
    <t>curve up</t>
  </si>
  <si>
    <t>turn into helix</t>
  </si>
  <si>
    <t>Curve down</t>
  </si>
  <si>
    <t>Straight into helix</t>
  </si>
  <si>
    <t>Helix</t>
  </si>
  <si>
    <t>Straight</t>
  </si>
  <si>
    <t>Turn into magnetic braking section</t>
  </si>
  <si>
    <t>Elevated break section</t>
  </si>
  <si>
    <t>Turn into the station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</si>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</sst>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727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4478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readingOrder="1"/>
    </xf>
    <xf numFmtId="0" fontId="2" fillId="3" borderId="1" xfId="0" applyFont="1" applyFill="1" applyBorder="1" applyAlignment="1">
      <alignment readingOrder="1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3" fillId="0" borderId="0" xfId="0" applyFont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8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 readingOrder="1"/>
    </xf>
    <xf numFmtId="0" fontId="3" fillId="0" borderId="0" xfId="0" applyFont="1" applyAlignment="1">
      <alignment wrapText="1" readingOrder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 wrapText="1" readingOrder="1"/>
    </xf>
    <xf numFmtId="0" fontId="3" fillId="10" borderId="0" xfId="0" applyFont="1" applyFill="1" applyAlignment="1">
      <alignment wrapText="1" readingOrder="1"/>
    </xf>
    <xf numFmtId="0" fontId="3" fillId="10" borderId="0" xfId="0" applyFont="1" applyFill="1" applyAlignment="1">
      <alignment horizontal="left" vertical="center" wrapText="1" indent="1" readingOrder="1"/>
    </xf>
    <xf numFmtId="0" fontId="0" fillId="10" borderId="0" xfId="0" applyFill="1"/>
    <xf numFmtId="0" fontId="0" fillId="11" borderId="1" xfId="0" applyFill="1" applyBorder="1"/>
    <xf numFmtId="0" fontId="0" fillId="12" borderId="1" xfId="0" applyFill="1" applyBorder="1"/>
    <xf numFmtId="0" fontId="0" fillId="8" borderId="1" xfId="0" applyFill="1" applyBorder="1"/>
    <xf numFmtId="0" fontId="3" fillId="0" borderId="0" xfId="0" applyFont="1" applyAlignment="1">
      <alignment horizontal="right" vertical="center" wrapText="1" indent="1" readingOrder="1"/>
    </xf>
    <xf numFmtId="0" fontId="2" fillId="3" borderId="5" xfId="0" applyFont="1" applyFill="1" applyBorder="1" applyAlignment="1">
      <alignment readingOrder="1"/>
    </xf>
    <xf numFmtId="0" fontId="5" fillId="0" borderId="0" xfId="0" applyFont="1" applyAlignment="1">
      <alignment horizontal="right" vertical="center" wrapText="1" indent="1" readingOrder="1"/>
    </xf>
    <xf numFmtId="0" fontId="5" fillId="0" borderId="0" xfId="0" applyFont="1" applyAlignment="1">
      <alignment horizontal="left" vertical="center" wrapText="1" indent="1" readingOrder="1"/>
    </xf>
    <xf numFmtId="0" fontId="0" fillId="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/>
    <xf numFmtId="0" fontId="0" fillId="9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E7272"/>
      <color rgb="FFFFB7B7"/>
      <color rgb="FF84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</a:t>
            </a:r>
            <a:r>
              <a:rPr lang="en-US" baseline="0"/>
              <a:t> Duration limits for Gy (Eyes Right and Eyes Left) </a:t>
            </a:r>
            <a:endParaRPr lang="en-US"/>
          </a:p>
        </c:rich>
      </c:tx>
      <c:layout>
        <c:manualLayout>
          <c:xMode val="edge"/>
          <c:yMode val="edge"/>
          <c:x val="9.7441853626981087E-2"/>
          <c:y val="3.1952005141074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'Accel-Charts'!$U$13:$V$13</c:f>
              <c:strCache>
                <c:ptCount val="1"/>
                <c:pt idx="0">
                  <c:v>Eyes Right (+Gy)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'Accel-Charts'!$U$15:$U$20</c:f>
              <c:numCache>
                <c:formatCode>General</c:formatCode>
                <c:ptCount val="6"/>
                <c:pt idx="0">
                  <c:v>0.2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9.6999999999999993</c:v>
                </c:pt>
              </c:numCache>
            </c:numRef>
          </c:xVal>
          <c:yVal>
            <c:numRef>
              <c:f>'Accel-Charts'!$V$15:$V$20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64-45C1-A9AF-EA5811201E12}"/>
            </c:ext>
          </c:extLst>
        </c:ser>
        <c:ser>
          <c:idx val="1"/>
          <c:order val="1"/>
          <c:tx>
            <c:strRef>
              <c:f>'Accel-Charts'!$X$13:$Y$13</c:f>
              <c:strCache>
                <c:ptCount val="1"/>
                <c:pt idx="0">
                  <c:v>Eyes Left (-Gy) Limit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'Accel-Charts'!$X$15:$X$20</c:f>
              <c:numCache>
                <c:formatCode>General</c:formatCode>
                <c:ptCount val="6"/>
                <c:pt idx="0">
                  <c:v>0.2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9.77</c:v>
                </c:pt>
              </c:numCache>
            </c:numRef>
          </c:xVal>
          <c:yVal>
            <c:numRef>
              <c:f>'Accel-Charts'!$Y$15:$Y$20</c:f>
              <c:numCache>
                <c:formatCode>General</c:formatCode>
                <c:ptCount val="6"/>
                <c:pt idx="0">
                  <c:v>-3</c:v>
                </c:pt>
                <c:pt idx="1">
                  <c:v>-3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64-45C1-A9AF-EA5811201E12}"/>
            </c:ext>
          </c:extLst>
        </c:ser>
        <c:ser>
          <c:idx val="2"/>
          <c:order val="2"/>
          <c:tx>
            <c:v>Eyes Right ( On-ride) +Gy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'Accel-Charts'!$I$3:$I$30</c:f>
              <c:numCache>
                <c:formatCode>General</c:formatCode>
                <c:ptCount val="28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'Accel-Charts'!$J$3:$J$30</c:f>
              <c:numCache>
                <c:formatCode>General</c:formatCode>
                <c:ptCount val="28"/>
                <c:pt idx="0">
                  <c:v>0</c:v>
                </c:pt>
                <c:pt idx="1">
                  <c:v>3.6837608256880722E-4</c:v>
                </c:pt>
                <c:pt idx="2">
                  <c:v>0</c:v>
                </c:pt>
                <c:pt idx="3">
                  <c:v>4.0812423027522934E-3</c:v>
                </c:pt>
                <c:pt idx="4">
                  <c:v>1.0193679918450562E-4</c:v>
                </c:pt>
                <c:pt idx="5">
                  <c:v>0</c:v>
                </c:pt>
                <c:pt idx="6">
                  <c:v>2.0387359836901124E-5</c:v>
                </c:pt>
                <c:pt idx="7">
                  <c:v>3.0581039755351684E-5</c:v>
                </c:pt>
                <c:pt idx="8">
                  <c:v>3.530157311926606E-3</c:v>
                </c:pt>
                <c:pt idx="9">
                  <c:v>3.3687089194699288E-3</c:v>
                </c:pt>
                <c:pt idx="10">
                  <c:v>1.1034356778797145E-2</c:v>
                </c:pt>
                <c:pt idx="11">
                  <c:v>2.7047400611620795E-3</c:v>
                </c:pt>
                <c:pt idx="12">
                  <c:v>0</c:v>
                </c:pt>
                <c:pt idx="13">
                  <c:v>3.2192675840978591E-3</c:v>
                </c:pt>
                <c:pt idx="14">
                  <c:v>1.3930937818552497E-2</c:v>
                </c:pt>
                <c:pt idx="15">
                  <c:v>3.5183119266055045E-2</c:v>
                </c:pt>
                <c:pt idx="16">
                  <c:v>0</c:v>
                </c:pt>
                <c:pt idx="17">
                  <c:v>9.9972612436289493E-2</c:v>
                </c:pt>
                <c:pt idx="18">
                  <c:v>0</c:v>
                </c:pt>
                <c:pt idx="19">
                  <c:v>4.3365023445463814E-2</c:v>
                </c:pt>
                <c:pt idx="20">
                  <c:v>0</c:v>
                </c:pt>
                <c:pt idx="21">
                  <c:v>4.7363914373088675E-3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64-45C1-A9AF-EA5811201E12}"/>
            </c:ext>
          </c:extLst>
        </c:ser>
        <c:ser>
          <c:idx val="3"/>
          <c:order val="3"/>
          <c:tx>
            <c:v>Eyes Left (On-ride) -Gy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'Accel-Charts'!$L$3:$L$30</c:f>
              <c:numCache>
                <c:formatCode>General</c:formatCode>
                <c:ptCount val="28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'Accel-Charts'!$M$3:$M$30</c:f>
              <c:numCache>
                <c:formatCode>General</c:formatCode>
                <c:ptCount val="28"/>
                <c:pt idx="0">
                  <c:v>0</c:v>
                </c:pt>
                <c:pt idx="1">
                  <c:v>-3.6837608256880722E-4</c:v>
                </c:pt>
                <c:pt idx="2">
                  <c:v>0</c:v>
                </c:pt>
                <c:pt idx="3">
                  <c:v>-4.0812423027522934E-3</c:v>
                </c:pt>
                <c:pt idx="4">
                  <c:v>-1.0193679918450562E-4</c:v>
                </c:pt>
                <c:pt idx="5">
                  <c:v>0</c:v>
                </c:pt>
                <c:pt idx="6">
                  <c:v>-2.0387359836901124E-5</c:v>
                </c:pt>
                <c:pt idx="7">
                  <c:v>-3.0581039755351684E-5</c:v>
                </c:pt>
                <c:pt idx="8">
                  <c:v>-3.530157311926606E-3</c:v>
                </c:pt>
                <c:pt idx="9">
                  <c:v>-3.3687089194699288E-3</c:v>
                </c:pt>
                <c:pt idx="10">
                  <c:v>-1.1034356778797145E-2</c:v>
                </c:pt>
                <c:pt idx="11">
                  <c:v>-2.7047400611620795E-3</c:v>
                </c:pt>
                <c:pt idx="12">
                  <c:v>0</c:v>
                </c:pt>
                <c:pt idx="13">
                  <c:v>-3.2192675840978591E-3</c:v>
                </c:pt>
                <c:pt idx="14">
                  <c:v>-1.3930937818552497E-2</c:v>
                </c:pt>
                <c:pt idx="15">
                  <c:v>-3.5183119266055045E-2</c:v>
                </c:pt>
                <c:pt idx="16">
                  <c:v>0</c:v>
                </c:pt>
                <c:pt idx="17">
                  <c:v>-9.9972612436289493E-2</c:v>
                </c:pt>
                <c:pt idx="18">
                  <c:v>0</c:v>
                </c:pt>
                <c:pt idx="19">
                  <c:v>-4.3365023445463814E-2</c:v>
                </c:pt>
                <c:pt idx="20">
                  <c:v>0</c:v>
                </c:pt>
                <c:pt idx="21">
                  <c:v>-4.7363914373088675E-3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64-45C1-A9AF-EA5811201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259951"/>
        <c:axId val="392255631"/>
      </c:scatterChart>
      <c:valAx>
        <c:axId val="39225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55631"/>
        <c:crosses val="autoZero"/>
        <c:crossBetween val="midCat"/>
      </c:valAx>
      <c:valAx>
        <c:axId val="3922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</a:t>
                </a:r>
                <a:r>
                  <a:rPr lang="en-US" baseline="0"/>
                  <a:t> in the 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59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</a:t>
            </a:r>
            <a:r>
              <a:rPr lang="en-US" baseline="0"/>
              <a:t> Duration limits for Gz (Eyes Down and Eyes up)</a:t>
            </a:r>
            <a:endParaRPr lang="en-US"/>
          </a:p>
        </c:rich>
      </c:tx>
      <c:layout>
        <c:manualLayout>
          <c:xMode val="edge"/>
          <c:yMode val="edge"/>
          <c:x val="0.1168214230389298"/>
          <c:y val="7.0450242619505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'Accel-Charts'!$U$24:$X$24</c:f>
              <c:strCache>
                <c:ptCount val="1"/>
                <c:pt idx="0">
                  <c:v>Eyes Up (-Gz)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'Accel-Charts'!$U$26:$U$30</c:f>
              <c:numCache>
                <c:formatCode>General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4</c:v>
                </c:pt>
                <c:pt idx="3">
                  <c:v>7</c:v>
                </c:pt>
                <c:pt idx="4">
                  <c:v>9.6999999999999993</c:v>
                </c:pt>
              </c:numCache>
            </c:numRef>
          </c:xVal>
          <c:yVal>
            <c:numRef>
              <c:f>'Accel-Charts'!$V$26:$V$30</c:f>
              <c:numCache>
                <c:formatCode>General</c:formatCode>
                <c:ptCount val="5"/>
                <c:pt idx="0">
                  <c:v>-2</c:v>
                </c:pt>
                <c:pt idx="1">
                  <c:v>-1.5</c:v>
                </c:pt>
                <c:pt idx="2">
                  <c:v>-1.5</c:v>
                </c:pt>
                <c:pt idx="3">
                  <c:v>-1.1000000000000001</c:v>
                </c:pt>
                <c:pt idx="4">
                  <c:v>-1.1000000000000001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91-4291-8FF3-D14DA6B55305}"/>
            </c:ext>
          </c:extLst>
        </c:ser>
        <c:ser>
          <c:idx val="1"/>
          <c:order val="1"/>
          <c:tx>
            <c:v>Extended Eyes up (-Gz) Limit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'Accel-Charts'!$W$26:$W$31</c:f>
              <c:numCache>
                <c:formatCode>General</c:formatCode>
                <c:ptCount val="6"/>
                <c:pt idx="0">
                  <c:v>0.2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9.6999999999999993</c:v>
                </c:pt>
              </c:numCache>
            </c:numRef>
          </c:xVal>
          <c:yVal>
            <c:numRef>
              <c:f>'Accel-Charts'!$X$26:$X$31</c:f>
              <c:numCache>
                <c:formatCode>General</c:formatCode>
                <c:ptCount val="6"/>
                <c:pt idx="0">
                  <c:v>-2.8</c:v>
                </c:pt>
                <c:pt idx="1">
                  <c:v>-2.2000000000000002</c:v>
                </c:pt>
                <c:pt idx="2">
                  <c:v>-1.5</c:v>
                </c:pt>
                <c:pt idx="3">
                  <c:v>-1.5</c:v>
                </c:pt>
                <c:pt idx="4">
                  <c:v>-1.1000000000000001</c:v>
                </c:pt>
                <c:pt idx="5">
                  <c:v>-1.1000000000000001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91-4291-8FF3-D14DA6B55305}"/>
            </c:ext>
          </c:extLst>
        </c:ser>
        <c:ser>
          <c:idx val="2"/>
          <c:order val="2"/>
          <c:tx>
            <c:v>Eyes Down (+Gz) Limit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'Accel-Charts'!$Z$26:$Z$32</c:f>
              <c:numCache>
                <c:formatCode>General</c:formatCode>
                <c:ptCount val="7"/>
                <c:pt idx="0">
                  <c:v>0.2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9.6999999999999993</c:v>
                </c:pt>
              </c:numCache>
            </c:numRef>
          </c:xVal>
          <c:yVal>
            <c:numRef>
              <c:f>'Accel-Charts'!$AA$26:$AA$32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91-4291-8FF3-D14DA6B55305}"/>
            </c:ext>
          </c:extLst>
        </c:ser>
        <c:ser>
          <c:idx val="3"/>
          <c:order val="3"/>
          <c:tx>
            <c:v>Eyes Up (On-ride) -Gz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'Accel-Charts'!$O$3:$O$30</c:f>
              <c:numCache>
                <c:formatCode>General</c:formatCode>
                <c:ptCount val="28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'Accel-Charts'!$P$3:$P$30</c:f>
              <c:numCache>
                <c:formatCode>General</c:formatCode>
                <c:ptCount val="28"/>
                <c:pt idx="0">
                  <c:v>-1</c:v>
                </c:pt>
                <c:pt idx="1">
                  <c:v>-0.99988564554191806</c:v>
                </c:pt>
                <c:pt idx="2">
                  <c:v>-1</c:v>
                </c:pt>
                <c:pt idx="3">
                  <c:v>-0.99753432521324192</c:v>
                </c:pt>
                <c:pt idx="4">
                  <c:v>-0.99984947972995164</c:v>
                </c:pt>
                <c:pt idx="5">
                  <c:v>-1</c:v>
                </c:pt>
                <c:pt idx="6">
                  <c:v>-0.99994155927703965</c:v>
                </c:pt>
                <c:pt idx="7">
                  <c:v>-0.99989539021626683</c:v>
                </c:pt>
                <c:pt idx="8">
                  <c:v>-0.98749550525838692</c:v>
                </c:pt>
                <c:pt idx="9">
                  <c:v>-0.98793642013189464</c:v>
                </c:pt>
                <c:pt idx="10">
                  <c:v>-0.95814591739467836</c:v>
                </c:pt>
                <c:pt idx="11">
                  <c:v>-0.98858930445284965</c:v>
                </c:pt>
                <c:pt idx="12">
                  <c:v>-1</c:v>
                </c:pt>
                <c:pt idx="13">
                  <c:v>-0.98554860309252734</c:v>
                </c:pt>
                <c:pt idx="14">
                  <c:v>-0.93614313530299398</c:v>
                </c:pt>
                <c:pt idx="15">
                  <c:v>-0.83327432387590161</c:v>
                </c:pt>
                <c:pt idx="16">
                  <c:v>-1</c:v>
                </c:pt>
                <c:pt idx="17">
                  <c:v>-0.46090599415597711</c:v>
                </c:pt>
                <c:pt idx="18">
                  <c:v>-1</c:v>
                </c:pt>
                <c:pt idx="19">
                  <c:v>-0.75271405690847415</c:v>
                </c:pt>
                <c:pt idx="20">
                  <c:v>-1</c:v>
                </c:pt>
                <c:pt idx="21">
                  <c:v>-0.95845759708019662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91-4291-8FF3-D14DA6B55305}"/>
            </c:ext>
          </c:extLst>
        </c:ser>
        <c:ser>
          <c:idx val="4"/>
          <c:order val="4"/>
          <c:tx>
            <c:v>Eyes Down (On-ride) +Gz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'Accel-Charts'!$R$3:$R$30</c:f>
              <c:numCache>
                <c:formatCode>General</c:formatCode>
                <c:ptCount val="28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'Accel-Charts'!$S$3:$S$30</c:f>
              <c:numCache>
                <c:formatCode>General</c:formatCode>
                <c:ptCount val="28"/>
                <c:pt idx="0">
                  <c:v>1</c:v>
                </c:pt>
                <c:pt idx="1">
                  <c:v>1.0003683760825688</c:v>
                </c:pt>
                <c:pt idx="2">
                  <c:v>1</c:v>
                </c:pt>
                <c:pt idx="3">
                  <c:v>1.0040812423027523</c:v>
                </c:pt>
                <c:pt idx="4">
                  <c:v>1.0001019367991846</c:v>
                </c:pt>
                <c:pt idx="5">
                  <c:v>1</c:v>
                </c:pt>
                <c:pt idx="6">
                  <c:v>1.000020387359837</c:v>
                </c:pt>
                <c:pt idx="7">
                  <c:v>1.0000305810397554</c:v>
                </c:pt>
                <c:pt idx="8">
                  <c:v>1.0035301573119266</c:v>
                </c:pt>
                <c:pt idx="9">
                  <c:v>1.0033687089194698</c:v>
                </c:pt>
                <c:pt idx="10">
                  <c:v>1.0110343567787972</c:v>
                </c:pt>
                <c:pt idx="11">
                  <c:v>1.0027047400611622</c:v>
                </c:pt>
                <c:pt idx="12">
                  <c:v>1</c:v>
                </c:pt>
                <c:pt idx="13">
                  <c:v>1.0032192675840979</c:v>
                </c:pt>
                <c:pt idx="14">
                  <c:v>1.0139309378185526</c:v>
                </c:pt>
                <c:pt idx="15">
                  <c:v>1.035183119266055</c:v>
                </c:pt>
                <c:pt idx="16">
                  <c:v>1</c:v>
                </c:pt>
                <c:pt idx="17">
                  <c:v>1.0999726124362894</c:v>
                </c:pt>
                <c:pt idx="18">
                  <c:v>1</c:v>
                </c:pt>
                <c:pt idx="19">
                  <c:v>1.0433650234454639</c:v>
                </c:pt>
                <c:pt idx="20">
                  <c:v>1</c:v>
                </c:pt>
                <c:pt idx="21">
                  <c:v>1.0047363914373089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91-4291-8FF3-D14DA6B55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732671"/>
        <c:axId val="676727871"/>
      </c:scatterChart>
      <c:valAx>
        <c:axId val="67673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27871"/>
        <c:crosses val="autoZero"/>
        <c:crossBetween val="midCat"/>
      </c:valAx>
      <c:valAx>
        <c:axId val="67672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</a:t>
                </a:r>
                <a:r>
                  <a:rPr lang="en-US" baseline="0"/>
                  <a:t> in the Z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32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</a:t>
            </a:r>
            <a:r>
              <a:rPr lang="en-US" baseline="0"/>
              <a:t> Duration Limits for Gx (Eyes Back &amp; Eyes Front</a:t>
            </a:r>
            <a:r>
              <a:rPr lang="en-US"/>
              <a:t>​)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Eyes Back Limit -Gx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'Accel-Charts'!$AB$3:$AB$8</c:f>
              <c:numCache>
                <c:formatCode>General</c:formatCode>
                <c:ptCount val="6"/>
                <c:pt idx="0">
                  <c:v>0.02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9.77</c:v>
                </c:pt>
              </c:numCache>
            </c:numRef>
          </c:xVal>
          <c:yVal>
            <c:numRef>
              <c:f>'Accel-Charts'!$AC$3:$AC$8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A-48EF-A05E-0EB35A478924}"/>
            </c:ext>
          </c:extLst>
        </c:ser>
        <c:ser>
          <c:idx val="1"/>
          <c:order val="1"/>
          <c:tx>
            <c:v>Eyes Front Limit (Base Case) -Gx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'Accel-Charts'!$U$3:$U$7</c:f>
              <c:numCache>
                <c:formatCode>General</c:formatCode>
                <c:ptCount val="5"/>
                <c:pt idx="0">
                  <c:v>0.02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9.6999999999999993</c:v>
                </c:pt>
              </c:numCache>
            </c:numRef>
          </c:xVal>
          <c:yVal>
            <c:numRef>
              <c:f>'Accel-Charts'!$V$3:$V$7</c:f>
              <c:numCache>
                <c:formatCode>General</c:formatCode>
                <c:ptCount val="5"/>
                <c:pt idx="0">
                  <c:v>-2</c:v>
                </c:pt>
                <c:pt idx="1">
                  <c:v>-2</c:v>
                </c:pt>
                <c:pt idx="2">
                  <c:v>-1.5</c:v>
                </c:pt>
                <c:pt idx="3">
                  <c:v>-1.5</c:v>
                </c:pt>
                <c:pt idx="4">
                  <c:v>-1.5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9A-48EF-A05E-0EB35A478924}"/>
            </c:ext>
          </c:extLst>
        </c:ser>
        <c:ser>
          <c:idx val="2"/>
          <c:order val="2"/>
          <c:tx>
            <c:v>Eyes Front Limit (Upper Torso) -Gx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'Accel-Charts'!$W$3:$W$7</c:f>
              <c:numCache>
                <c:formatCode>General</c:formatCode>
                <c:ptCount val="5"/>
                <c:pt idx="0">
                  <c:v>0.2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</c:numCache>
            </c:numRef>
          </c:xVal>
          <c:yVal>
            <c:numRef>
              <c:f>'Accel-Charts'!$X$3:$X$7</c:f>
              <c:numCache>
                <c:formatCode>General</c:formatCode>
                <c:ptCount val="5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9A-48EF-A05E-0EB35A478924}"/>
            </c:ext>
          </c:extLst>
        </c:ser>
        <c:ser>
          <c:idx val="3"/>
          <c:order val="3"/>
          <c:tx>
            <c:v>Eyes Front Limit(Prone) -Gx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'Accel-Charts'!$Y$3:$Y$9</c:f>
              <c:numCache>
                <c:formatCode>General</c:formatCode>
                <c:ptCount val="7"/>
                <c:pt idx="0">
                  <c:v>0.2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'Accel-Charts'!$Z$3:$Z$10</c:f>
              <c:numCache>
                <c:formatCode>General</c:formatCode>
                <c:ptCount val="8"/>
                <c:pt idx="0">
                  <c:v>-3.5</c:v>
                </c:pt>
                <c:pt idx="1">
                  <c:v>-3.5</c:v>
                </c:pt>
                <c:pt idx="2">
                  <c:v>-2.5</c:v>
                </c:pt>
                <c:pt idx="3">
                  <c:v>-2.5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9A-48EF-A05E-0EB35A478924}"/>
            </c:ext>
          </c:extLst>
        </c:ser>
        <c:ser>
          <c:idx val="4"/>
          <c:order val="4"/>
          <c:tx>
            <c:v>Eyes Front (On-ride) -Gx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'Accel-Charts'!$A$3:$A$30</c:f>
              <c:numCache>
                <c:formatCode>General</c:formatCode>
                <c:ptCount val="28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'Accel-Charts'!$B$3:$B$30</c:f>
              <c:numCache>
                <c:formatCode>General</c:formatCode>
                <c:ptCount val="28"/>
                <c:pt idx="0">
                  <c:v>-4.3238890680851162E-2</c:v>
                </c:pt>
                <c:pt idx="1">
                  <c:v>-9.4784283071849707E-3</c:v>
                </c:pt>
                <c:pt idx="2">
                  <c:v>-0.11985006816698472</c:v>
                </c:pt>
                <c:pt idx="3">
                  <c:v>-0.33842366298660392</c:v>
                </c:pt>
                <c:pt idx="4">
                  <c:v>-7.4325044975942847E-3</c:v>
                </c:pt>
                <c:pt idx="5">
                  <c:v>-1.0123825522346372E-2</c:v>
                </c:pt>
                <c:pt idx="6">
                  <c:v>-2.0803428405001143E-2</c:v>
                </c:pt>
                <c:pt idx="7">
                  <c:v>-2.0803428405001143E-2</c:v>
                </c:pt>
                <c:pt idx="8">
                  <c:v>-0.78897522617789806</c:v>
                </c:pt>
                <c:pt idx="9">
                  <c:v>-3.1439544709892155</c:v>
                </c:pt>
                <c:pt idx="10">
                  <c:v>-0.58478663422987254</c:v>
                </c:pt>
                <c:pt idx="11">
                  <c:v>-0.40687837374446284</c:v>
                </c:pt>
                <c:pt idx="12">
                  <c:v>-0.76554161594491821</c:v>
                </c:pt>
                <c:pt idx="13">
                  <c:v>-15.330986921030458</c:v>
                </c:pt>
                <c:pt idx="14">
                  <c:v>-2.120849422718682</c:v>
                </c:pt>
                <c:pt idx="15">
                  <c:v>-1.3147870380495741</c:v>
                </c:pt>
                <c:pt idx="16">
                  <c:v>-1.0861641850428803</c:v>
                </c:pt>
                <c:pt idx="17">
                  <c:v>-0.7399918931360987</c:v>
                </c:pt>
                <c:pt idx="18">
                  <c:v>-1.5457766746858019</c:v>
                </c:pt>
                <c:pt idx="19">
                  <c:v>-4.3468001575404029</c:v>
                </c:pt>
                <c:pt idx="20">
                  <c:v>-1.2628600352396041E-2</c:v>
                </c:pt>
                <c:pt idx="21">
                  <c:v>-9.0669102533319446E-2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9A-48EF-A05E-0EB35A478924}"/>
            </c:ext>
          </c:extLst>
        </c:ser>
        <c:ser>
          <c:idx val="5"/>
          <c:order val="5"/>
          <c:tx>
            <c:v>Eyes Back (On-Ride) +Gx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'Accel-Charts'!$F$3:$F$30</c:f>
              <c:numCache>
                <c:formatCode>General</c:formatCode>
                <c:ptCount val="28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'Accel-Charts'!$G$3:$G$30</c:f>
              <c:numCache>
                <c:formatCode>General</c:formatCode>
                <c:ptCount val="28"/>
                <c:pt idx="0">
                  <c:v>4.3238890680851162E-2</c:v>
                </c:pt>
                <c:pt idx="1">
                  <c:v>9.4784283071849707E-3</c:v>
                </c:pt>
                <c:pt idx="2">
                  <c:v>0.11985006816698472</c:v>
                </c:pt>
                <c:pt idx="3">
                  <c:v>0.33842366298660392</c:v>
                </c:pt>
                <c:pt idx="4">
                  <c:v>7.4325044975942847E-3</c:v>
                </c:pt>
                <c:pt idx="5">
                  <c:v>1.0123825522346372E-2</c:v>
                </c:pt>
                <c:pt idx="6">
                  <c:v>2.0803428405001143E-2</c:v>
                </c:pt>
                <c:pt idx="7">
                  <c:v>2.0803428405001143E-2</c:v>
                </c:pt>
                <c:pt idx="8">
                  <c:v>0.78897522617789806</c:v>
                </c:pt>
                <c:pt idx="9">
                  <c:v>3.1439544709892155</c:v>
                </c:pt>
                <c:pt idx="10">
                  <c:v>0.58478663422987254</c:v>
                </c:pt>
                <c:pt idx="11">
                  <c:v>0.40687837374446284</c:v>
                </c:pt>
                <c:pt idx="12">
                  <c:v>0.76554161594491821</c:v>
                </c:pt>
                <c:pt idx="13">
                  <c:v>15.330986921030458</c:v>
                </c:pt>
                <c:pt idx="14">
                  <c:v>2.120849422718682</c:v>
                </c:pt>
                <c:pt idx="15">
                  <c:v>1.3147870380495741</c:v>
                </c:pt>
                <c:pt idx="16">
                  <c:v>1.0861641850428803</c:v>
                </c:pt>
                <c:pt idx="17">
                  <c:v>0.7399918931360987</c:v>
                </c:pt>
                <c:pt idx="18">
                  <c:v>1.5457766746858019</c:v>
                </c:pt>
                <c:pt idx="19">
                  <c:v>4.3468001575404029</c:v>
                </c:pt>
                <c:pt idx="20">
                  <c:v>1.2628600352396041E-2</c:v>
                </c:pt>
                <c:pt idx="21">
                  <c:v>9.0669102533319446E-2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9A-48EF-A05E-0EB35A478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145519"/>
        <c:axId val="1974145039"/>
      </c:scatterChart>
      <c:valAx>
        <c:axId val="197414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45039"/>
        <c:crosses val="autoZero"/>
        <c:crossBetween val="midCat"/>
      </c:valAx>
      <c:valAx>
        <c:axId val="19741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4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Jerk</a:t>
            </a:r>
            <a:r>
              <a:rPr lang="en-US" baseline="0"/>
              <a:t> Vs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Gx ( Longitudinal)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'Accel-Charts'!$A$36:$A$63</c:f>
              <c:numCache>
                <c:formatCode>General</c:formatCode>
                <c:ptCount val="28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'Accel-Charts'!$D$36:$D$63</c:f>
              <c:numCache>
                <c:formatCode>General</c:formatCode>
                <c:ptCount val="28"/>
                <c:pt idx="0">
                  <c:v>0</c:v>
                </c:pt>
                <c:pt idx="1">
                  <c:v>-0.26050000000000001</c:v>
                </c:pt>
                <c:pt idx="2">
                  <c:v>1.7114</c:v>
                </c:pt>
                <c:pt idx="3">
                  <c:v>-4.7624000000000004</c:v>
                </c:pt>
                <c:pt idx="4">
                  <c:v>0.46660000000000001</c:v>
                </c:pt>
                <c:pt idx="5">
                  <c:v>-0.2412</c:v>
                </c:pt>
                <c:pt idx="6">
                  <c:v>0</c:v>
                </c:pt>
                <c:pt idx="7">
                  <c:v>0</c:v>
                </c:pt>
                <c:pt idx="8">
                  <c:v>189.559</c:v>
                </c:pt>
                <c:pt idx="9">
                  <c:v>-48.109200000000001</c:v>
                </c:pt>
                <c:pt idx="10">
                  <c:v>-59.999099999999999</c:v>
                </c:pt>
                <c:pt idx="11">
                  <c:v>299.18299999999999</c:v>
                </c:pt>
                <c:pt idx="12">
                  <c:v>-51.552199999999999</c:v>
                </c:pt>
                <c:pt idx="13">
                  <c:v>-6.4782999999999999</c:v>
                </c:pt>
                <c:pt idx="14">
                  <c:v>0.28179999999999999</c:v>
                </c:pt>
                <c:pt idx="15">
                  <c:v>-0.17469999999999999</c:v>
                </c:pt>
                <c:pt idx="16">
                  <c:v>0</c:v>
                </c:pt>
                <c:pt idx="17">
                  <c:v>0</c:v>
                </c:pt>
                <c:pt idx="18">
                  <c:v>0.48899999999999999</c:v>
                </c:pt>
                <c:pt idx="19">
                  <c:v>47.278399999999998</c:v>
                </c:pt>
                <c:pt idx="20">
                  <c:v>-3.4245000000000001</c:v>
                </c:pt>
                <c:pt idx="21">
                  <c:v>-33.346600000000002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9E-4334-AAD3-6FD20B692B22}"/>
            </c:ext>
          </c:extLst>
        </c:ser>
        <c:ser>
          <c:idx val="1"/>
          <c:order val="1"/>
          <c:tx>
            <c:v>Gy ( Lateral)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'Accel-Charts'!$A$36:$A$63</c:f>
              <c:numCache>
                <c:formatCode>General</c:formatCode>
                <c:ptCount val="28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'Accel-Charts'!$E$36:$E$63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5.1162999999999998</c:v>
                </c:pt>
                <c:pt idx="11">
                  <c:v>-26.674600000000002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9E-4334-AAD3-6FD20B69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915199"/>
        <c:axId val="944286303"/>
      </c:scatterChart>
      <c:valAx>
        <c:axId val="76391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286303"/>
        <c:crosses val="autoZero"/>
        <c:crossBetween val="midCat"/>
      </c:valAx>
      <c:valAx>
        <c:axId val="94428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Jerk</a:t>
                </a:r>
                <a:r>
                  <a:rPr lang="en-US" baseline="0"/>
                  <a:t> (G/s)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15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Allowable</a:t>
            </a:r>
            <a:r>
              <a:rPr lang="en-US" baseline="0"/>
              <a:t> Combined Magnitude for Y &amp; Z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Combined Normal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'Accel-Charts'!$W$43:$W$67</c:f>
              <c:numCache>
                <c:formatCode>General</c:formatCode>
                <c:ptCount val="25"/>
                <c:pt idx="0">
                  <c:v>4.2426406871192848</c:v>
                </c:pt>
                <c:pt idx="1">
                  <c:v>4.098076211353316</c:v>
                </c:pt>
                <c:pt idx="2">
                  <c:v>3.6742346141747673</c:v>
                </c:pt>
                <c:pt idx="3">
                  <c:v>3</c:v>
                </c:pt>
                <c:pt idx="4">
                  <c:v>2.1213203435596428</c:v>
                </c:pt>
                <c:pt idx="5">
                  <c:v>1.0980762113533158</c:v>
                </c:pt>
                <c:pt idx="6">
                  <c:v>2.5989323412783186E-16</c:v>
                </c:pt>
                <c:pt idx="7">
                  <c:v>-1.0980762113533162</c:v>
                </c:pt>
                <c:pt idx="8">
                  <c:v>-2.1213203435596415</c:v>
                </c:pt>
                <c:pt idx="9">
                  <c:v>-2.9999999999999996</c:v>
                </c:pt>
                <c:pt idx="10">
                  <c:v>-3.6742346141747673</c:v>
                </c:pt>
                <c:pt idx="11">
                  <c:v>-4.0980762113533151</c:v>
                </c:pt>
                <c:pt idx="12">
                  <c:v>-4.2426406871192848</c:v>
                </c:pt>
                <c:pt idx="13">
                  <c:v>-4.098076211353316</c:v>
                </c:pt>
                <c:pt idx="14">
                  <c:v>-3.6742346141747668</c:v>
                </c:pt>
                <c:pt idx="15">
                  <c:v>-3.0000000000000004</c:v>
                </c:pt>
                <c:pt idx="16">
                  <c:v>-2.1213203435596442</c:v>
                </c:pt>
                <c:pt idx="17">
                  <c:v>-1.0980762113533153</c:v>
                </c:pt>
                <c:pt idx="18">
                  <c:v>-7.7967970238349563E-16</c:v>
                </c:pt>
                <c:pt idx="19">
                  <c:v>1.0980762113533138</c:v>
                </c:pt>
                <c:pt idx="20">
                  <c:v>2.1213203435596428</c:v>
                </c:pt>
                <c:pt idx="21">
                  <c:v>2.9999999999999991</c:v>
                </c:pt>
                <c:pt idx="22">
                  <c:v>3.6742346141747655</c:v>
                </c:pt>
                <c:pt idx="23">
                  <c:v>4.098076211353316</c:v>
                </c:pt>
                <c:pt idx="24">
                  <c:v>4.2426406871192848</c:v>
                </c:pt>
              </c:numCache>
            </c:numRef>
          </c:xVal>
          <c:yVal>
            <c:numRef>
              <c:f>'Accel-Charts'!$X$43:$X$67</c:f>
              <c:numCache>
                <c:formatCode>General</c:formatCode>
                <c:ptCount val="25"/>
                <c:pt idx="0">
                  <c:v>0</c:v>
                </c:pt>
                <c:pt idx="1">
                  <c:v>1.6369153687076272</c:v>
                </c:pt>
                <c:pt idx="2">
                  <c:v>3.1622776601683791</c:v>
                </c:pt>
                <c:pt idx="3">
                  <c:v>4.4721359549995796</c:v>
                </c:pt>
                <c:pt idx="4">
                  <c:v>5.4772255750516612</c:v>
                </c:pt>
                <c:pt idx="5">
                  <c:v>6.1090513237072068</c:v>
                </c:pt>
                <c:pt idx="6">
                  <c:v>6.324555320336759</c:v>
                </c:pt>
                <c:pt idx="7">
                  <c:v>6.1090513237072068</c:v>
                </c:pt>
                <c:pt idx="8">
                  <c:v>5.4772255750516621</c:v>
                </c:pt>
                <c:pt idx="9">
                  <c:v>4.4721359549995796</c:v>
                </c:pt>
                <c:pt idx="10">
                  <c:v>3.1622776601683791</c:v>
                </c:pt>
                <c:pt idx="11">
                  <c:v>1.636915368707629</c:v>
                </c:pt>
                <c:pt idx="12">
                  <c:v>7.7485191786946725E-16</c:v>
                </c:pt>
                <c:pt idx="13">
                  <c:v>-1.6369153687076274</c:v>
                </c:pt>
                <c:pt idx="14">
                  <c:v>-3.1622776601683804</c:v>
                </c:pt>
                <c:pt idx="15">
                  <c:v>-4.4721359549995796</c:v>
                </c:pt>
                <c:pt idx="16">
                  <c:v>-5.4772255750516594</c:v>
                </c:pt>
                <c:pt idx="17">
                  <c:v>-6.1090513237072068</c:v>
                </c:pt>
                <c:pt idx="18">
                  <c:v>-6.324555320336759</c:v>
                </c:pt>
                <c:pt idx="19">
                  <c:v>-6.1090513237072077</c:v>
                </c:pt>
                <c:pt idx="20">
                  <c:v>-5.4772255750516612</c:v>
                </c:pt>
                <c:pt idx="21">
                  <c:v>-4.4721359549995805</c:v>
                </c:pt>
                <c:pt idx="22">
                  <c:v>-3.1622776601683822</c:v>
                </c:pt>
                <c:pt idx="23">
                  <c:v>-1.6369153687076268</c:v>
                </c:pt>
                <c:pt idx="24">
                  <c:v>-1.5497038357389345E-15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8D-442A-88AB-8548AE0DEE32}"/>
            </c:ext>
          </c:extLst>
        </c:ser>
        <c:ser>
          <c:idx val="1"/>
          <c:order val="1"/>
          <c:tx>
            <c:v>Combined External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'Accel-Charts'!$W$43:$W$67</c:f>
              <c:numCache>
                <c:formatCode>General</c:formatCode>
                <c:ptCount val="25"/>
                <c:pt idx="0">
                  <c:v>4.2426406871192848</c:v>
                </c:pt>
                <c:pt idx="1">
                  <c:v>4.098076211353316</c:v>
                </c:pt>
                <c:pt idx="2">
                  <c:v>3.6742346141747673</c:v>
                </c:pt>
                <c:pt idx="3">
                  <c:v>3</c:v>
                </c:pt>
                <c:pt idx="4">
                  <c:v>2.1213203435596428</c:v>
                </c:pt>
                <c:pt idx="5">
                  <c:v>1.0980762113533158</c:v>
                </c:pt>
                <c:pt idx="6">
                  <c:v>2.5989323412783186E-16</c:v>
                </c:pt>
                <c:pt idx="7">
                  <c:v>-1.0980762113533162</c:v>
                </c:pt>
                <c:pt idx="8">
                  <c:v>-2.1213203435596415</c:v>
                </c:pt>
                <c:pt idx="9">
                  <c:v>-2.9999999999999996</c:v>
                </c:pt>
                <c:pt idx="10">
                  <c:v>-3.6742346141747673</c:v>
                </c:pt>
                <c:pt idx="11">
                  <c:v>-4.0980762113533151</c:v>
                </c:pt>
                <c:pt idx="12">
                  <c:v>-4.2426406871192848</c:v>
                </c:pt>
                <c:pt idx="13">
                  <c:v>-4.098076211353316</c:v>
                </c:pt>
                <c:pt idx="14">
                  <c:v>-3.6742346141747668</c:v>
                </c:pt>
                <c:pt idx="15">
                  <c:v>-3.0000000000000004</c:v>
                </c:pt>
                <c:pt idx="16">
                  <c:v>-2.1213203435596442</c:v>
                </c:pt>
                <c:pt idx="17">
                  <c:v>-1.0980762113533153</c:v>
                </c:pt>
                <c:pt idx="18">
                  <c:v>-7.7967970238349563E-16</c:v>
                </c:pt>
                <c:pt idx="19">
                  <c:v>1.0980762113533138</c:v>
                </c:pt>
                <c:pt idx="20">
                  <c:v>2.1213203435596428</c:v>
                </c:pt>
                <c:pt idx="21">
                  <c:v>2.9999999999999991</c:v>
                </c:pt>
                <c:pt idx="22">
                  <c:v>3.6742346141747655</c:v>
                </c:pt>
                <c:pt idx="23">
                  <c:v>4.098076211353316</c:v>
                </c:pt>
                <c:pt idx="24">
                  <c:v>4.2426406871192848</c:v>
                </c:pt>
              </c:numCache>
            </c:numRef>
          </c:xVal>
          <c:yVal>
            <c:numRef>
              <c:f>'Accel-Charts'!$Y$43:$Y$67</c:f>
              <c:numCache>
                <c:formatCode>General</c:formatCode>
                <c:ptCount val="25"/>
                <c:pt idx="0">
                  <c:v>0</c:v>
                </c:pt>
                <c:pt idx="1">
                  <c:v>1.7136870043987333</c:v>
                </c:pt>
                <c:pt idx="2">
                  <c:v>3.3105890714493693</c:v>
                </c:pt>
                <c:pt idx="3">
                  <c:v>4.6818799642878499</c:v>
                </c:pt>
                <c:pt idx="4">
                  <c:v>5.7341084747325803</c:v>
                </c:pt>
                <c:pt idx="5">
                  <c:v>6.3955669686865839</c:v>
                </c:pt>
                <c:pt idx="6">
                  <c:v>6.6211781428987395</c:v>
                </c:pt>
                <c:pt idx="7">
                  <c:v>6.3955669686865839</c:v>
                </c:pt>
                <c:pt idx="8">
                  <c:v>5.7341084747325812</c:v>
                </c:pt>
                <c:pt idx="9">
                  <c:v>4.6818799642878508</c:v>
                </c:pt>
                <c:pt idx="10">
                  <c:v>3.3105890714493693</c:v>
                </c:pt>
                <c:pt idx="11">
                  <c:v>1.7136870043987351</c:v>
                </c:pt>
                <c:pt idx="12">
                  <c:v>8.1119261714471164E-16</c:v>
                </c:pt>
                <c:pt idx="13">
                  <c:v>-1.7136870043987338</c:v>
                </c:pt>
                <c:pt idx="14">
                  <c:v>-3.3105890714493706</c:v>
                </c:pt>
                <c:pt idx="15">
                  <c:v>-4.6818799642878499</c:v>
                </c:pt>
                <c:pt idx="16">
                  <c:v>-5.7341084747325786</c:v>
                </c:pt>
                <c:pt idx="17">
                  <c:v>-6.3955669686865839</c:v>
                </c:pt>
                <c:pt idx="18">
                  <c:v>-6.6211781428987395</c:v>
                </c:pt>
                <c:pt idx="19">
                  <c:v>-6.3955669686865848</c:v>
                </c:pt>
                <c:pt idx="20">
                  <c:v>-5.7341084747325803</c:v>
                </c:pt>
                <c:pt idx="21">
                  <c:v>-4.6818799642878508</c:v>
                </c:pt>
                <c:pt idx="22">
                  <c:v>-3.3105890714493729</c:v>
                </c:pt>
                <c:pt idx="23">
                  <c:v>-1.7136870043987331</c:v>
                </c:pt>
                <c:pt idx="24">
                  <c:v>-1.6223852342894233E-15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8D-442A-88AB-8548AE0DE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909455"/>
        <c:axId val="368205999"/>
      </c:scatterChart>
      <c:valAx>
        <c:axId val="33890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Eyes</a:t>
                </a:r>
                <a:r>
                  <a:rPr lang="en-US" baseline="0"/>
                  <a:t> Down &amp; Eyes 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05999"/>
        <c:crosses val="autoZero"/>
        <c:crossBetween val="midCat"/>
      </c:valAx>
      <c:valAx>
        <c:axId val="36820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Eyes</a:t>
                </a:r>
                <a:r>
                  <a:rPr lang="en-US" baseline="0"/>
                  <a:t> Back &amp; Front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0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Allowable Combined Magnitude of X and Z Accelerations</a:t>
            </a:r>
            <a:endParaRPr lang="en-US"/>
          </a:p>
        </c:rich>
      </c:tx>
      <c:layout>
        <c:manualLayout>
          <c:xMode val="edge"/>
          <c:yMode val="edge"/>
          <c:x val="0.16094096164320584"/>
          <c:y val="2.20825323343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Combined Magnitude with normal 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'Accel-Charts'!$U$43:$U$67</c:f>
              <c:numCache>
                <c:formatCode>General</c:formatCode>
                <c:ptCount val="25"/>
                <c:pt idx="0">
                  <c:v>6.324555320336759</c:v>
                </c:pt>
                <c:pt idx="1">
                  <c:v>6.1090513237072068</c:v>
                </c:pt>
                <c:pt idx="2">
                  <c:v>5.4772255750516621</c:v>
                </c:pt>
                <c:pt idx="3">
                  <c:v>4.4721359549995796</c:v>
                </c:pt>
                <c:pt idx="4">
                  <c:v>3.1622776601683804</c:v>
                </c:pt>
                <c:pt idx="5">
                  <c:v>1.6369153687076272</c:v>
                </c:pt>
                <c:pt idx="6">
                  <c:v>3.8742595893473363E-16</c:v>
                </c:pt>
                <c:pt idx="7">
                  <c:v>-1.6369153687076279</c:v>
                </c:pt>
                <c:pt idx="8">
                  <c:v>-3.1622776601683782</c:v>
                </c:pt>
                <c:pt idx="9">
                  <c:v>-4.4721359549995796</c:v>
                </c:pt>
                <c:pt idx="10">
                  <c:v>-5.4772255750516621</c:v>
                </c:pt>
                <c:pt idx="11">
                  <c:v>-6.1090513237072068</c:v>
                </c:pt>
                <c:pt idx="12">
                  <c:v>-6.324555320336759</c:v>
                </c:pt>
                <c:pt idx="13">
                  <c:v>-6.1090513237072068</c:v>
                </c:pt>
                <c:pt idx="14">
                  <c:v>-5.4772255750516612</c:v>
                </c:pt>
                <c:pt idx="15">
                  <c:v>-4.4721359549995805</c:v>
                </c:pt>
                <c:pt idx="16">
                  <c:v>-3.1622776601683822</c:v>
                </c:pt>
                <c:pt idx="17">
                  <c:v>-0.28420303647225881</c:v>
                </c:pt>
                <c:pt idx="18">
                  <c:v>-1.1622778768042008E-15</c:v>
                </c:pt>
                <c:pt idx="19">
                  <c:v>1.6369153687076243</c:v>
                </c:pt>
                <c:pt idx="20">
                  <c:v>3.1622776601683804</c:v>
                </c:pt>
                <c:pt idx="21">
                  <c:v>4.4721359549995787</c:v>
                </c:pt>
                <c:pt idx="22">
                  <c:v>5.4772255750516594</c:v>
                </c:pt>
                <c:pt idx="23">
                  <c:v>6.1090513237072068</c:v>
                </c:pt>
                <c:pt idx="24">
                  <c:v>6.324555320336759</c:v>
                </c:pt>
              </c:numCache>
            </c:numRef>
          </c:xVal>
          <c:yVal>
            <c:numRef>
              <c:f>'Accel-Charts'!$X$43:$X$67</c:f>
              <c:numCache>
                <c:formatCode>General</c:formatCode>
                <c:ptCount val="25"/>
                <c:pt idx="0">
                  <c:v>0</c:v>
                </c:pt>
                <c:pt idx="1">
                  <c:v>1.6369153687076272</c:v>
                </c:pt>
                <c:pt idx="2">
                  <c:v>3.1622776601683791</c:v>
                </c:pt>
                <c:pt idx="3">
                  <c:v>4.4721359549995796</c:v>
                </c:pt>
                <c:pt idx="4">
                  <c:v>5.4772255750516612</c:v>
                </c:pt>
                <c:pt idx="5">
                  <c:v>6.1090513237072068</c:v>
                </c:pt>
                <c:pt idx="6">
                  <c:v>6.324555320336759</c:v>
                </c:pt>
                <c:pt idx="7">
                  <c:v>6.1090513237072068</c:v>
                </c:pt>
                <c:pt idx="8">
                  <c:v>5.4772255750516621</c:v>
                </c:pt>
                <c:pt idx="9">
                  <c:v>4.4721359549995796</c:v>
                </c:pt>
                <c:pt idx="10">
                  <c:v>3.1622776601683791</c:v>
                </c:pt>
                <c:pt idx="11">
                  <c:v>1.636915368707629</c:v>
                </c:pt>
                <c:pt idx="12">
                  <c:v>7.7485191786946725E-16</c:v>
                </c:pt>
                <c:pt idx="13">
                  <c:v>-1.6369153687076274</c:v>
                </c:pt>
                <c:pt idx="14">
                  <c:v>-3.1622776601683804</c:v>
                </c:pt>
                <c:pt idx="15">
                  <c:v>-4.4721359549995796</c:v>
                </c:pt>
                <c:pt idx="16">
                  <c:v>-5.4772255750516594</c:v>
                </c:pt>
                <c:pt idx="17">
                  <c:v>-6.1090513237072068</c:v>
                </c:pt>
                <c:pt idx="18">
                  <c:v>-6.324555320336759</c:v>
                </c:pt>
                <c:pt idx="19">
                  <c:v>-6.1090513237072077</c:v>
                </c:pt>
                <c:pt idx="20">
                  <c:v>-5.4772255750516612</c:v>
                </c:pt>
                <c:pt idx="21">
                  <c:v>-4.4721359549995805</c:v>
                </c:pt>
                <c:pt idx="22">
                  <c:v>-3.1622776601683822</c:v>
                </c:pt>
                <c:pt idx="23">
                  <c:v>-1.6369153687076268</c:v>
                </c:pt>
                <c:pt idx="24">
                  <c:v>-1.5497038357389345E-15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F2-4247-B977-83A9B83732FA}"/>
            </c:ext>
          </c:extLst>
        </c:ser>
        <c:ser>
          <c:idx val="1"/>
          <c:order val="1"/>
          <c:tx>
            <c:v>Combined magnitude with Extended 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'Accel-Charts'!$U$43:$U$67</c:f>
              <c:numCache>
                <c:formatCode>General</c:formatCode>
                <c:ptCount val="25"/>
                <c:pt idx="0">
                  <c:v>6.324555320336759</c:v>
                </c:pt>
                <c:pt idx="1">
                  <c:v>6.1090513237072068</c:v>
                </c:pt>
                <c:pt idx="2">
                  <c:v>5.4772255750516621</c:v>
                </c:pt>
                <c:pt idx="3">
                  <c:v>4.4721359549995796</c:v>
                </c:pt>
                <c:pt idx="4">
                  <c:v>3.1622776601683804</c:v>
                </c:pt>
                <c:pt idx="5">
                  <c:v>1.6369153687076272</c:v>
                </c:pt>
                <c:pt idx="6">
                  <c:v>3.8742595893473363E-16</c:v>
                </c:pt>
                <c:pt idx="7">
                  <c:v>-1.6369153687076279</c:v>
                </c:pt>
                <c:pt idx="8">
                  <c:v>-3.1622776601683782</c:v>
                </c:pt>
                <c:pt idx="9">
                  <c:v>-4.4721359549995796</c:v>
                </c:pt>
                <c:pt idx="10">
                  <c:v>-5.4772255750516621</c:v>
                </c:pt>
                <c:pt idx="11">
                  <c:v>-6.1090513237072068</c:v>
                </c:pt>
                <c:pt idx="12">
                  <c:v>-6.324555320336759</c:v>
                </c:pt>
                <c:pt idx="13">
                  <c:v>-6.1090513237072068</c:v>
                </c:pt>
                <c:pt idx="14">
                  <c:v>-5.4772255750516612</c:v>
                </c:pt>
                <c:pt idx="15">
                  <c:v>-4.4721359549995805</c:v>
                </c:pt>
                <c:pt idx="16">
                  <c:v>-3.1622776601683822</c:v>
                </c:pt>
                <c:pt idx="17">
                  <c:v>-0.28420303647225881</c:v>
                </c:pt>
                <c:pt idx="18">
                  <c:v>-1.1622778768042008E-15</c:v>
                </c:pt>
                <c:pt idx="19">
                  <c:v>1.6369153687076243</c:v>
                </c:pt>
                <c:pt idx="20">
                  <c:v>3.1622776601683804</c:v>
                </c:pt>
                <c:pt idx="21">
                  <c:v>4.4721359549995787</c:v>
                </c:pt>
                <c:pt idx="22">
                  <c:v>5.4772255750516594</c:v>
                </c:pt>
                <c:pt idx="23">
                  <c:v>6.1090513237072068</c:v>
                </c:pt>
                <c:pt idx="24">
                  <c:v>6.324555320336759</c:v>
                </c:pt>
              </c:numCache>
            </c:numRef>
          </c:xVal>
          <c:yVal>
            <c:numRef>
              <c:f>'Accel-Charts'!$Y$43:$Y$67</c:f>
              <c:numCache>
                <c:formatCode>General</c:formatCode>
                <c:ptCount val="25"/>
                <c:pt idx="0">
                  <c:v>0</c:v>
                </c:pt>
                <c:pt idx="1">
                  <c:v>1.7136870043987333</c:v>
                </c:pt>
                <c:pt idx="2">
                  <c:v>3.3105890714493693</c:v>
                </c:pt>
                <c:pt idx="3">
                  <c:v>4.6818799642878499</c:v>
                </c:pt>
                <c:pt idx="4">
                  <c:v>5.7341084747325803</c:v>
                </c:pt>
                <c:pt idx="5">
                  <c:v>6.3955669686865839</c:v>
                </c:pt>
                <c:pt idx="6">
                  <c:v>6.6211781428987395</c:v>
                </c:pt>
                <c:pt idx="7">
                  <c:v>6.3955669686865839</c:v>
                </c:pt>
                <c:pt idx="8">
                  <c:v>5.7341084747325812</c:v>
                </c:pt>
                <c:pt idx="9">
                  <c:v>4.6818799642878508</c:v>
                </c:pt>
                <c:pt idx="10">
                  <c:v>3.3105890714493693</c:v>
                </c:pt>
                <c:pt idx="11">
                  <c:v>1.7136870043987351</c:v>
                </c:pt>
                <c:pt idx="12">
                  <c:v>8.1119261714471164E-16</c:v>
                </c:pt>
                <c:pt idx="13">
                  <c:v>-1.7136870043987338</c:v>
                </c:pt>
                <c:pt idx="14">
                  <c:v>-3.3105890714493706</c:v>
                </c:pt>
                <c:pt idx="15">
                  <c:v>-4.6818799642878499</c:v>
                </c:pt>
                <c:pt idx="16">
                  <c:v>-5.7341084747325786</c:v>
                </c:pt>
                <c:pt idx="17">
                  <c:v>-6.3955669686865839</c:v>
                </c:pt>
                <c:pt idx="18">
                  <c:v>-6.6211781428987395</c:v>
                </c:pt>
                <c:pt idx="19">
                  <c:v>-6.3955669686865848</c:v>
                </c:pt>
                <c:pt idx="20">
                  <c:v>-5.7341084747325803</c:v>
                </c:pt>
                <c:pt idx="21">
                  <c:v>-4.6818799642878508</c:v>
                </c:pt>
                <c:pt idx="22">
                  <c:v>-3.3105890714493729</c:v>
                </c:pt>
                <c:pt idx="23">
                  <c:v>-1.7136870043987331</c:v>
                </c:pt>
                <c:pt idx="24">
                  <c:v>-1.6223852342894233E-15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F2-4247-B977-83A9B8373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720031"/>
        <c:axId val="2111723871"/>
      </c:scatterChart>
      <c:valAx>
        <c:axId val="211172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Eyes</a:t>
                </a:r>
                <a:r>
                  <a:rPr lang="en-US" baseline="0"/>
                  <a:t> Down &amp; Eyes 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23871"/>
        <c:crosses val="autoZero"/>
        <c:crossBetween val="midCat"/>
      </c:valAx>
      <c:valAx>
        <c:axId val="211172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Eyes</a:t>
                </a:r>
                <a:r>
                  <a:rPr lang="en-US" baseline="0"/>
                  <a:t> Back  &amp; Front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2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Allowable Combined Magnitude of X and Y Accelerations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'Accel-Charts'!$U$43:$U$67</c:f>
              <c:numCache>
                <c:formatCode>General</c:formatCode>
                <c:ptCount val="25"/>
                <c:pt idx="0">
                  <c:v>6.324555320336759</c:v>
                </c:pt>
                <c:pt idx="1">
                  <c:v>6.1090513237072068</c:v>
                </c:pt>
                <c:pt idx="2">
                  <c:v>5.4772255750516621</c:v>
                </c:pt>
                <c:pt idx="3">
                  <c:v>4.4721359549995796</c:v>
                </c:pt>
                <c:pt idx="4">
                  <c:v>3.1622776601683804</c:v>
                </c:pt>
                <c:pt idx="5">
                  <c:v>1.6369153687076272</c:v>
                </c:pt>
                <c:pt idx="6">
                  <c:v>3.8742595893473363E-16</c:v>
                </c:pt>
                <c:pt idx="7">
                  <c:v>-1.6369153687076279</c:v>
                </c:pt>
                <c:pt idx="8">
                  <c:v>-3.1622776601683782</c:v>
                </c:pt>
                <c:pt idx="9">
                  <c:v>-4.4721359549995796</c:v>
                </c:pt>
                <c:pt idx="10">
                  <c:v>-5.4772255750516621</c:v>
                </c:pt>
                <c:pt idx="11">
                  <c:v>-6.1090513237072068</c:v>
                </c:pt>
                <c:pt idx="12">
                  <c:v>-6.324555320336759</c:v>
                </c:pt>
                <c:pt idx="13">
                  <c:v>-6.1090513237072068</c:v>
                </c:pt>
                <c:pt idx="14">
                  <c:v>-5.4772255750516612</c:v>
                </c:pt>
                <c:pt idx="15">
                  <c:v>-4.4721359549995805</c:v>
                </c:pt>
                <c:pt idx="16">
                  <c:v>-3.1622776601683822</c:v>
                </c:pt>
                <c:pt idx="17">
                  <c:v>-0.28420303647225881</c:v>
                </c:pt>
                <c:pt idx="18">
                  <c:v>-1.1622778768042008E-15</c:v>
                </c:pt>
                <c:pt idx="19">
                  <c:v>1.6369153687076243</c:v>
                </c:pt>
                <c:pt idx="20">
                  <c:v>3.1622776601683804</c:v>
                </c:pt>
                <c:pt idx="21">
                  <c:v>4.4721359549995787</c:v>
                </c:pt>
                <c:pt idx="22">
                  <c:v>5.4772255750516594</c:v>
                </c:pt>
                <c:pt idx="23">
                  <c:v>6.1090513237072068</c:v>
                </c:pt>
                <c:pt idx="24">
                  <c:v>6.324555320336759</c:v>
                </c:pt>
              </c:numCache>
            </c:numRef>
          </c:xVal>
          <c:yVal>
            <c:numRef>
              <c:f>'Accel-Charts'!$W$43:$W$67</c:f>
              <c:numCache>
                <c:formatCode>General</c:formatCode>
                <c:ptCount val="25"/>
                <c:pt idx="0">
                  <c:v>4.2426406871192848</c:v>
                </c:pt>
                <c:pt idx="1">
                  <c:v>4.098076211353316</c:v>
                </c:pt>
                <c:pt idx="2">
                  <c:v>3.6742346141747673</c:v>
                </c:pt>
                <c:pt idx="3">
                  <c:v>3</c:v>
                </c:pt>
                <c:pt idx="4">
                  <c:v>2.1213203435596428</c:v>
                </c:pt>
                <c:pt idx="5">
                  <c:v>1.0980762113533158</c:v>
                </c:pt>
                <c:pt idx="6">
                  <c:v>2.5989323412783186E-16</c:v>
                </c:pt>
                <c:pt idx="7">
                  <c:v>-1.0980762113533162</c:v>
                </c:pt>
                <c:pt idx="8">
                  <c:v>-2.1213203435596415</c:v>
                </c:pt>
                <c:pt idx="9">
                  <c:v>-2.9999999999999996</c:v>
                </c:pt>
                <c:pt idx="10">
                  <c:v>-3.6742346141747673</c:v>
                </c:pt>
                <c:pt idx="11">
                  <c:v>-4.0980762113533151</c:v>
                </c:pt>
                <c:pt idx="12">
                  <c:v>-4.2426406871192848</c:v>
                </c:pt>
                <c:pt idx="13">
                  <c:v>-4.098076211353316</c:v>
                </c:pt>
                <c:pt idx="14">
                  <c:v>-3.6742346141747668</c:v>
                </c:pt>
                <c:pt idx="15">
                  <c:v>-3.0000000000000004</c:v>
                </c:pt>
                <c:pt idx="16">
                  <c:v>-2.1213203435596442</c:v>
                </c:pt>
                <c:pt idx="17">
                  <c:v>-1.0980762113533153</c:v>
                </c:pt>
                <c:pt idx="18">
                  <c:v>-7.7967970238349563E-16</c:v>
                </c:pt>
                <c:pt idx="19">
                  <c:v>1.0980762113533138</c:v>
                </c:pt>
                <c:pt idx="20">
                  <c:v>2.1213203435596428</c:v>
                </c:pt>
                <c:pt idx="21">
                  <c:v>2.9999999999999991</c:v>
                </c:pt>
                <c:pt idx="22">
                  <c:v>3.6742346141747655</c:v>
                </c:pt>
                <c:pt idx="23">
                  <c:v>4.098076211353316</c:v>
                </c:pt>
                <c:pt idx="24">
                  <c:v>4.2426406871192848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48-4B84-BE0C-068237F45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657823"/>
        <c:axId val="871658303"/>
      </c:scatterChart>
      <c:valAx>
        <c:axId val="8716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Eyes</a:t>
                </a:r>
                <a:r>
                  <a:rPr lang="en-US" baseline="0"/>
                  <a:t> Right &amp; Eyes Left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658303"/>
        <c:crosses val="autoZero"/>
        <c:crossBetween val="midCat"/>
      </c:valAx>
      <c:valAx>
        <c:axId val="87165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Eyes</a:t>
                </a:r>
                <a:r>
                  <a:rPr lang="en-US" baseline="0"/>
                  <a:t> Back  &amp; Front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65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Transition in Z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'Accel-Charts'!$A$36:$A$62</c:f>
              <c:numCache>
                <c:formatCode>General</c:formatCode>
                <c:ptCount val="27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'Accel-Charts'!$J$36:$J$62</c:f>
              <c:numCache>
                <c:formatCode>General</c:formatCode>
                <c:ptCount val="27"/>
                <c:pt idx="0">
                  <c:v>1.4142135623730951</c:v>
                </c:pt>
                <c:pt idx="1">
                  <c:v>1.4143932239751624</c:v>
                </c:pt>
                <c:pt idx="2">
                  <c:v>1.4142135623730951</c:v>
                </c:pt>
                <c:pt idx="3">
                  <c:v>1.4153635120077372</c:v>
                </c:pt>
                <c:pt idx="4">
                  <c:v>1.4141792199384544</c:v>
                </c:pt>
                <c:pt idx="5">
                  <c:v>1.4142135623730951</c:v>
                </c:pt>
                <c:pt idx="6">
                  <c:v>1.4141866556804712</c:v>
                </c:pt>
                <c:pt idx="7">
                  <c:v>1.4141612193772148</c:v>
                </c:pt>
                <c:pt idx="8">
                  <c:v>1.4079134027133975</c:v>
                </c:pt>
                <c:pt idx="9">
                  <c:v>1.4081076437054616</c:v>
                </c:pt>
                <c:pt idx="10">
                  <c:v>1.3929228512761236</c:v>
                </c:pt>
                <c:pt idx="11">
                  <c:v>1.4080928977236167</c:v>
                </c:pt>
                <c:pt idx="12">
                  <c:v>1.4142135623730951</c:v>
                </c:pt>
                <c:pt idx="13">
                  <c:v>1.4063267571619356</c:v>
                </c:pt>
                <c:pt idx="14">
                  <c:v>1.3800072160827745</c:v>
                </c:pt>
                <c:pt idx="15">
                  <c:v>1.3288905858814113</c:v>
                </c:pt>
                <c:pt idx="16">
                  <c:v>1.4142135623730951</c:v>
                </c:pt>
                <c:pt idx="17">
                  <c:v>1.1926332561013151</c:v>
                </c:pt>
                <c:pt idx="18">
                  <c:v>1.4142135623730951</c:v>
                </c:pt>
                <c:pt idx="19">
                  <c:v>1.2865414970442917</c:v>
                </c:pt>
                <c:pt idx="20">
                  <c:v>1.4142135623730951</c:v>
                </c:pt>
                <c:pt idx="21">
                  <c:v>1.3885734340247222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C-468B-8D6D-800B9050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521999"/>
        <c:axId val="580521039"/>
      </c:scatterChart>
      <c:valAx>
        <c:axId val="58052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21039"/>
        <c:crosses val="autoZero"/>
        <c:crossBetween val="midCat"/>
      </c:valAx>
      <c:valAx>
        <c:axId val="58052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</a:t>
                </a:r>
                <a:r>
                  <a:rPr lang="en-US" baseline="0"/>
                  <a:t>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2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Resultant G forces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'Accel-Charts'!$A$36:$A$62</c:f>
              <c:numCache>
                <c:formatCode>General</c:formatCode>
                <c:ptCount val="27"/>
                <c:pt idx="0">
                  <c:v>0.22867999999999999</c:v>
                </c:pt>
                <c:pt idx="1">
                  <c:v>1.74508</c:v>
                </c:pt>
                <c:pt idx="2">
                  <c:v>2.25285</c:v>
                </c:pt>
                <c:pt idx="3">
                  <c:v>2.4344800000000002</c:v>
                </c:pt>
                <c:pt idx="4">
                  <c:v>3.8059799999999999</c:v>
                </c:pt>
                <c:pt idx="5">
                  <c:v>4.8128799999999998</c:v>
                </c:pt>
                <c:pt idx="6">
                  <c:v>5.30288</c:v>
                </c:pt>
                <c:pt idx="7">
                  <c:v>5.7928800000000003</c:v>
                </c:pt>
                <c:pt idx="8">
                  <c:v>5.8948200000000002</c:v>
                </c:pt>
                <c:pt idx="9">
                  <c:v>5.9270810000000003</c:v>
                </c:pt>
                <c:pt idx="10">
                  <c:v>6.1000010000000007</c:v>
                </c:pt>
                <c:pt idx="11">
                  <c:v>6.4332110000000009</c:v>
                </c:pt>
                <c:pt idx="12">
                  <c:v>6.6264210000000006</c:v>
                </c:pt>
                <c:pt idx="13">
                  <c:v>6.6360688000000003</c:v>
                </c:pt>
                <c:pt idx="14">
                  <c:v>6.7057618000000003</c:v>
                </c:pt>
                <c:pt idx="15">
                  <c:v>6.8181818000000005</c:v>
                </c:pt>
                <c:pt idx="16">
                  <c:v>6.9585818000000002</c:v>
                </c:pt>
                <c:pt idx="17">
                  <c:v>7.2732118000000003</c:v>
                </c:pt>
                <c:pt idx="18">
                  <c:v>7.4252818000000005</c:v>
                </c:pt>
                <c:pt idx="19">
                  <c:v>7.4793598000000001</c:v>
                </c:pt>
                <c:pt idx="20">
                  <c:v>8.2865497999999995</c:v>
                </c:pt>
                <c:pt idx="21">
                  <c:v>9.2759097999999991</c:v>
                </c:pt>
              </c:numCache>
            </c:numRef>
          </c:xVal>
          <c:yVal>
            <c:numRef>
              <c:f>'Accel-Charts'!$K$36:$K$62</c:f>
              <c:numCache>
                <c:formatCode>General</c:formatCode>
                <c:ptCount val="27"/>
                <c:pt idx="0">
                  <c:v>1.4155349530600159</c:v>
                </c:pt>
                <c:pt idx="1">
                  <c:v>1.4144568373178021</c:v>
                </c:pt>
                <c:pt idx="2">
                  <c:v>1.4243342577075306</c:v>
                </c:pt>
                <c:pt idx="3">
                  <c:v>1.4941045263096169</c:v>
                </c:pt>
                <c:pt idx="4">
                  <c:v>1.414218289775016</c:v>
                </c:pt>
                <c:pt idx="5">
                  <c:v>1.4142860331935736</c:v>
                </c:pt>
                <c:pt idx="6">
                  <c:v>1.4144926522265178</c:v>
                </c:pt>
                <c:pt idx="7">
                  <c:v>1.4144672217932994</c:v>
                </c:pt>
                <c:pt idx="8">
                  <c:v>1.7964433997780842</c:v>
                </c:pt>
                <c:pt idx="9">
                  <c:v>4.663870631135417</c:v>
                </c:pt>
                <c:pt idx="10">
                  <c:v>1.6200087650423547</c:v>
                </c:pt>
                <c:pt idx="11">
                  <c:v>1.5211312441400862</c:v>
                </c:pt>
                <c:pt idx="12">
                  <c:v>1.7810412492379601</c:v>
                </c:pt>
                <c:pt idx="13">
                  <c:v>21.72685194916399</c:v>
                </c:pt>
                <c:pt idx="14">
                  <c:v>3.3016378672092235</c:v>
                </c:pt>
                <c:pt idx="15">
                  <c:v>2.2859912081749494</c:v>
                </c:pt>
                <c:pt idx="16">
                  <c:v>2.0879428329673511</c:v>
                </c:pt>
                <c:pt idx="17">
                  <c:v>1.592965515586509</c:v>
                </c:pt>
                <c:pt idx="18">
                  <c:v>2.6036226792692894</c:v>
                </c:pt>
                <c:pt idx="19">
                  <c:v>6.2807876331969998</c:v>
                </c:pt>
                <c:pt idx="20">
                  <c:v>1.4143263283605101</c:v>
                </c:pt>
                <c:pt idx="21">
                  <c:v>1.3944973362453223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2-4699-AE9A-3CA5B20B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518639"/>
        <c:axId val="580516719"/>
      </c:scatterChart>
      <c:valAx>
        <c:axId val="5805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16719"/>
        <c:crosses val="autoZero"/>
        <c:crossBetween val="midCat"/>
      </c:valAx>
      <c:valAx>
        <c:axId val="58051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10290</xdr:colOff>
      <xdr:row>19</xdr:row>
      <xdr:rowOff>21617</xdr:rowOff>
    </xdr:from>
    <xdr:to>
      <xdr:col>43</xdr:col>
      <xdr:colOff>585537</xdr:colOff>
      <xdr:row>41</xdr:row>
      <xdr:rowOff>112295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8B06D7-AA79-783D-AC66-7A4D3D43C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602732</xdr:colOff>
      <xdr:row>45</xdr:row>
      <xdr:rowOff>12096</xdr:rowOff>
    </xdr:from>
    <xdr:to>
      <xdr:col>44</xdr:col>
      <xdr:colOff>16042</xdr:colOff>
      <xdr:row>64</xdr:row>
      <xdr:rowOff>24063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2AF93B-F514-2C35-46E8-8C9B6FF35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17060</xdr:colOff>
      <xdr:row>0</xdr:row>
      <xdr:rowOff>146714</xdr:rowOff>
    </xdr:from>
    <xdr:to>
      <xdr:col>44</xdr:col>
      <xdr:colOff>22087</xdr:colOff>
      <xdr:row>17</xdr:row>
      <xdr:rowOff>110435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FDD07E-D944-31A9-2216-ADDEB2B87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564545</xdr:colOff>
      <xdr:row>65</xdr:row>
      <xdr:rowOff>13326</xdr:rowOff>
    </xdr:from>
    <xdr:to>
      <xdr:col>44</xdr:col>
      <xdr:colOff>0</xdr:colOff>
      <xdr:row>84</xdr:row>
      <xdr:rowOff>143565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9F1796-68C5-E132-60E6-7CCB6BF11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22342</xdr:colOff>
      <xdr:row>86</xdr:row>
      <xdr:rowOff>143234</xdr:rowOff>
    </xdr:from>
    <xdr:to>
      <xdr:col>41</xdr:col>
      <xdr:colOff>109328</xdr:colOff>
      <xdr:row>114</xdr:row>
      <xdr:rowOff>172527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D450C-2E78-D329-80C6-5D3CC1B89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38133</xdr:colOff>
      <xdr:row>86</xdr:row>
      <xdr:rowOff>161985</xdr:rowOff>
    </xdr:from>
    <xdr:to>
      <xdr:col>29</xdr:col>
      <xdr:colOff>407633</xdr:colOff>
      <xdr:row>102</xdr:row>
      <xdr:rowOff>168856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EF0266-9947-3C71-3C99-8A69F0120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526579</xdr:colOff>
      <xdr:row>67</xdr:row>
      <xdr:rowOff>139732</xdr:rowOff>
    </xdr:from>
    <xdr:to>
      <xdr:col>28</xdr:col>
      <xdr:colOff>210476</xdr:colOff>
      <xdr:row>82</xdr:row>
      <xdr:rowOff>99976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9BB1700-FDF1-E981-AFAE-4CA340212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245012</xdr:colOff>
      <xdr:row>68</xdr:row>
      <xdr:rowOff>56355</xdr:rowOff>
    </xdr:from>
    <xdr:to>
      <xdr:col>18</xdr:col>
      <xdr:colOff>92611</xdr:colOff>
      <xdr:row>83</xdr:row>
      <xdr:rowOff>56354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FA3383-6FB0-8B0E-AC32-F0F45D38C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788419</xdr:colOff>
      <xdr:row>68</xdr:row>
      <xdr:rowOff>37561</xdr:rowOff>
    </xdr:from>
    <xdr:to>
      <xdr:col>11</xdr:col>
      <xdr:colOff>435275</xdr:colOff>
      <xdr:row>82</xdr:row>
      <xdr:rowOff>167676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401AA-BE39-866D-CBAF-D6707C07DB1F}"/>
            </a:ext>
            <a:ext uri="{147F2762-F138-4A5C-976F-8EAC2B608ADB}">
              <a16:predDERef xmlns:a16="http://schemas.microsoft.com/office/drawing/2014/main" pred="{17FA3383-6FB0-8B0E-AC32-F0F45D38C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"/>
  <sheetViews>
    <sheetView tabSelected="1" topLeftCell="F1" zoomScale="53" zoomScaleNormal="128" workbookViewId="0">
      <selection activeCell="L59" sqref="L59"/>
    </sheetView>
  </sheetViews>
  <sheetFormatPr defaultRowHeight="15" x14ac:dyDescent="0.25"/>
  <cols>
    <col min="1" max="1" width="14.7109375" customWidth="1"/>
    <col min="2" max="2" width="17.42578125" bestFit="1" customWidth="1"/>
    <col min="3" max="3" width="18.7109375" customWidth="1"/>
    <col min="4" max="4" width="10.7109375" customWidth="1"/>
    <col min="5" max="5" width="12.140625" bestFit="1" customWidth="1"/>
    <col min="6" max="6" width="11.7109375" bestFit="1" customWidth="1"/>
    <col min="7" max="8" width="12.7109375" bestFit="1" customWidth="1"/>
    <col min="9" max="9" width="15.42578125" bestFit="1" customWidth="1"/>
    <col min="10" max="11" width="17.140625" bestFit="1" customWidth="1"/>
    <col min="12" max="12" width="11.85546875" bestFit="1" customWidth="1"/>
    <col min="13" max="13" width="17.42578125" bestFit="1" customWidth="1"/>
    <col min="14" max="14" width="9.28515625" bestFit="1" customWidth="1"/>
    <col min="15" max="15" width="11.85546875" bestFit="1" customWidth="1"/>
    <col min="16" max="16" width="12.7109375" bestFit="1" customWidth="1"/>
    <col min="17" max="17" width="11" bestFit="1" customWidth="1"/>
    <col min="18" max="18" width="12" bestFit="1" customWidth="1"/>
    <col min="19" max="19" width="15.7109375" bestFit="1" customWidth="1"/>
    <col min="20" max="20" width="9.28515625" bestFit="1" customWidth="1"/>
    <col min="21" max="21" width="15.42578125" bestFit="1" customWidth="1"/>
    <col min="22" max="22" width="16.5703125" bestFit="1" customWidth="1"/>
    <col min="23" max="24" width="18.28515625" bestFit="1" customWidth="1"/>
    <col min="25" max="25" width="16" bestFit="1" customWidth="1"/>
    <col min="26" max="26" width="14.5703125" bestFit="1" customWidth="1"/>
    <col min="27" max="27" width="14.85546875" bestFit="1" customWidth="1"/>
    <col min="28" max="29" width="9.42578125" bestFit="1" customWidth="1"/>
  </cols>
  <sheetData>
    <row r="1" spans="1:29" x14ac:dyDescent="0.25">
      <c r="A1" s="35" t="s">
        <v>0</v>
      </c>
      <c r="B1" s="36"/>
      <c r="C1" s="19"/>
      <c r="D1" t="s">
        <v>1</v>
      </c>
      <c r="E1" s="19"/>
      <c r="F1" s="28" t="s">
        <v>2</v>
      </c>
      <c r="G1" s="28"/>
      <c r="H1" s="19"/>
      <c r="I1" s="29" t="s">
        <v>3</v>
      </c>
      <c r="J1" s="29"/>
      <c r="K1" s="19"/>
      <c r="L1" s="30" t="s">
        <v>4</v>
      </c>
      <c r="M1" s="30"/>
      <c r="N1" s="19"/>
      <c r="O1" s="37" t="s">
        <v>5</v>
      </c>
      <c r="P1" s="37"/>
      <c r="Q1" s="19"/>
      <c r="R1" s="38" t="s">
        <v>6</v>
      </c>
      <c r="S1" s="38"/>
      <c r="T1" s="19"/>
      <c r="U1" s="31" t="s">
        <v>7</v>
      </c>
      <c r="V1" s="32"/>
      <c r="W1" s="32"/>
      <c r="X1" s="32"/>
      <c r="Y1" s="32"/>
      <c r="Z1" s="32"/>
      <c r="AB1" s="27" t="s">
        <v>8</v>
      </c>
      <c r="AC1" s="27"/>
    </row>
    <row r="2" spans="1:29" ht="30" x14ac:dyDescent="0.25">
      <c r="A2" s="1" t="s">
        <v>9</v>
      </c>
      <c r="B2" s="1" t="s">
        <v>10</v>
      </c>
      <c r="C2" s="19"/>
      <c r="D2" t="str">
        <f>D1</f>
        <v>Time in (S)</v>
      </c>
      <c r="E2" s="19"/>
      <c r="F2" s="2" t="str">
        <f>A2</f>
        <v>Duration [s]</v>
      </c>
      <c r="G2" s="24" t="str">
        <f>B2</f>
        <v>G-forces</v>
      </c>
      <c r="H2" s="19"/>
      <c r="I2" s="3" t="str">
        <f>F2</f>
        <v>Duration [s]</v>
      </c>
      <c r="J2" s="3" t="str">
        <f>G2</f>
        <v>G-forces</v>
      </c>
      <c r="K2" s="19"/>
      <c r="L2" s="4" t="str">
        <f>I2</f>
        <v>Duration [s]</v>
      </c>
      <c r="M2" s="4" t="str">
        <f>J2</f>
        <v>G-forces</v>
      </c>
      <c r="N2" s="19"/>
      <c r="O2" s="5" t="str">
        <f>L2</f>
        <v>Duration [s]</v>
      </c>
      <c r="P2" s="5" t="str">
        <f>M2</f>
        <v>G-forces</v>
      </c>
      <c r="Q2" s="19"/>
      <c r="R2" s="6" t="str">
        <f>O2</f>
        <v>Duration [s]</v>
      </c>
      <c r="S2" s="6" t="str">
        <f>P2</f>
        <v>G-forces</v>
      </c>
      <c r="T2" s="19"/>
      <c r="U2" s="8" t="s">
        <v>11</v>
      </c>
      <c r="V2" s="8" t="s">
        <v>12</v>
      </c>
      <c r="W2" s="13" t="s">
        <v>13</v>
      </c>
      <c r="X2" s="13" t="s">
        <v>14</v>
      </c>
      <c r="Y2" s="13" t="s">
        <v>11</v>
      </c>
      <c r="Z2" s="14" t="s">
        <v>15</v>
      </c>
      <c r="AB2" s="9" t="s">
        <v>11</v>
      </c>
      <c r="AC2" s="9" t="s">
        <v>16</v>
      </c>
    </row>
    <row r="3" spans="1:29" x14ac:dyDescent="0.25">
      <c r="A3">
        <f>D3</f>
        <v>0.22867999999999999</v>
      </c>
      <c r="B3" s="23">
        <v>-4.3238890680851162E-2</v>
      </c>
      <c r="C3" s="19"/>
      <c r="D3">
        <v>0.22867999999999999</v>
      </c>
      <c r="E3" s="19"/>
      <c r="F3">
        <f t="shared" ref="F3:F24" si="0">A3</f>
        <v>0.22867999999999999</v>
      </c>
      <c r="G3">
        <v>4.3238890680851162E-2</v>
      </c>
      <c r="H3" s="19"/>
      <c r="I3">
        <f t="shared" ref="I3:I24" si="1">A3</f>
        <v>0.22867999999999999</v>
      </c>
      <c r="J3" s="23">
        <v>0</v>
      </c>
      <c r="K3" s="19"/>
      <c r="L3">
        <f t="shared" ref="L3:L24" si="2">A3</f>
        <v>0.22867999999999999</v>
      </c>
      <c r="M3" s="23">
        <v>0</v>
      </c>
      <c r="N3" s="19"/>
      <c r="O3">
        <f t="shared" ref="O3:O24" si="3">A3</f>
        <v>0.22867999999999999</v>
      </c>
      <c r="P3">
        <f t="shared" ref="P3:P24" si="4">((F3^2)/9.81*J3)-1</f>
        <v>-1</v>
      </c>
      <c r="Q3" s="19"/>
      <c r="R3">
        <f t="shared" ref="R3:R24" si="5">A3</f>
        <v>0.22867999999999999</v>
      </c>
      <c r="S3" s="23">
        <v>1</v>
      </c>
      <c r="T3" s="19"/>
      <c r="U3" s="12">
        <v>0.02</v>
      </c>
      <c r="V3" s="7">
        <v>-2</v>
      </c>
      <c r="W3">
        <v>0.2</v>
      </c>
      <c r="X3">
        <v>-2</v>
      </c>
      <c r="Y3" s="15">
        <v>0.2</v>
      </c>
      <c r="Z3">
        <v>-3.5</v>
      </c>
      <c r="AB3" s="7">
        <v>0.02</v>
      </c>
      <c r="AC3" s="7">
        <v>6</v>
      </c>
    </row>
    <row r="4" spans="1:29" x14ac:dyDescent="0.25">
      <c r="A4">
        <f t="shared" ref="A4:A24" si="6">A3+D4</f>
        <v>1.74508</v>
      </c>
      <c r="B4" s="23">
        <v>-9.4784283071849707E-3</v>
      </c>
      <c r="C4" s="19"/>
      <c r="D4">
        <v>1.5164</v>
      </c>
      <c r="E4" s="19"/>
      <c r="F4">
        <f t="shared" si="0"/>
        <v>1.74508</v>
      </c>
      <c r="G4">
        <v>9.4784283071849707E-3</v>
      </c>
      <c r="H4" s="19"/>
      <c r="I4">
        <f t="shared" si="1"/>
        <v>1.74508</v>
      </c>
      <c r="J4" s="23">
        <v>3.6837608256880722E-4</v>
      </c>
      <c r="K4" s="19"/>
      <c r="L4">
        <f t="shared" si="2"/>
        <v>1.74508</v>
      </c>
      <c r="M4" s="23">
        <v>-3.6837608256880722E-4</v>
      </c>
      <c r="N4" s="19"/>
      <c r="O4">
        <f t="shared" si="3"/>
        <v>1.74508</v>
      </c>
      <c r="P4">
        <f t="shared" si="4"/>
        <v>-0.99988564554191806</v>
      </c>
      <c r="Q4" s="19"/>
      <c r="R4">
        <f t="shared" si="5"/>
        <v>1.74508</v>
      </c>
      <c r="S4" s="23">
        <v>1.0003683760825688</v>
      </c>
      <c r="T4" s="19"/>
      <c r="U4">
        <v>1.5</v>
      </c>
      <c r="V4" s="7">
        <v>-2</v>
      </c>
      <c r="W4">
        <v>1</v>
      </c>
      <c r="X4">
        <v>-2</v>
      </c>
      <c r="Y4" s="15">
        <v>2</v>
      </c>
      <c r="Z4">
        <v>-3.5</v>
      </c>
      <c r="AB4" s="7">
        <v>2</v>
      </c>
      <c r="AC4" s="7">
        <v>4</v>
      </c>
    </row>
    <row r="5" spans="1:29" x14ac:dyDescent="0.25">
      <c r="A5">
        <f t="shared" si="6"/>
        <v>2.25285</v>
      </c>
      <c r="B5" s="23">
        <v>-0.11985006816698472</v>
      </c>
      <c r="C5" s="19"/>
      <c r="D5">
        <v>0.50777000000000005</v>
      </c>
      <c r="E5" s="19"/>
      <c r="F5">
        <f t="shared" si="0"/>
        <v>2.25285</v>
      </c>
      <c r="G5">
        <v>0.11985006816698472</v>
      </c>
      <c r="H5" s="19"/>
      <c r="I5">
        <f t="shared" si="1"/>
        <v>2.25285</v>
      </c>
      <c r="J5" s="23">
        <v>0</v>
      </c>
      <c r="K5" s="19"/>
      <c r="L5">
        <f t="shared" si="2"/>
        <v>2.25285</v>
      </c>
      <c r="M5" s="23">
        <v>0</v>
      </c>
      <c r="N5" s="19"/>
      <c r="O5">
        <f t="shared" si="3"/>
        <v>2.25285</v>
      </c>
      <c r="P5">
        <f t="shared" si="4"/>
        <v>-1</v>
      </c>
      <c r="Q5" s="19"/>
      <c r="R5">
        <f t="shared" si="5"/>
        <v>2.25285</v>
      </c>
      <c r="S5" s="23">
        <v>1</v>
      </c>
      <c r="T5" s="19"/>
      <c r="U5" s="11">
        <v>3</v>
      </c>
      <c r="V5" s="7">
        <v>-1.5</v>
      </c>
      <c r="W5">
        <v>3</v>
      </c>
      <c r="X5">
        <v>-2</v>
      </c>
      <c r="Y5" s="15">
        <v>3</v>
      </c>
      <c r="Z5">
        <v>-2.5</v>
      </c>
      <c r="AB5" s="7">
        <v>4</v>
      </c>
      <c r="AC5" s="7">
        <v>4</v>
      </c>
    </row>
    <row r="6" spans="1:29" x14ac:dyDescent="0.25">
      <c r="A6">
        <f t="shared" si="6"/>
        <v>2.4344800000000002</v>
      </c>
      <c r="B6" s="23">
        <v>-0.33842366298660392</v>
      </c>
      <c r="C6" s="19"/>
      <c r="D6">
        <v>0.18163000000000001</v>
      </c>
      <c r="E6" s="19"/>
      <c r="F6">
        <f t="shared" si="0"/>
        <v>2.4344800000000002</v>
      </c>
      <c r="G6">
        <v>0.33842366298660392</v>
      </c>
      <c r="H6" s="19"/>
      <c r="I6">
        <f t="shared" si="1"/>
        <v>2.4344800000000002</v>
      </c>
      <c r="J6" s="23">
        <v>4.0812423027522934E-3</v>
      </c>
      <c r="K6" s="19"/>
      <c r="L6">
        <f t="shared" si="2"/>
        <v>2.4344800000000002</v>
      </c>
      <c r="M6" s="23">
        <v>-4.0812423027522934E-3</v>
      </c>
      <c r="N6" s="19"/>
      <c r="O6">
        <f t="shared" si="3"/>
        <v>2.4344800000000002</v>
      </c>
      <c r="P6">
        <f t="shared" si="4"/>
        <v>-0.99753432521324192</v>
      </c>
      <c r="Q6" s="19"/>
      <c r="R6">
        <f t="shared" si="5"/>
        <v>2.4344800000000002</v>
      </c>
      <c r="S6" s="23">
        <v>1.0040812423027523</v>
      </c>
      <c r="T6" s="19"/>
      <c r="U6">
        <v>5</v>
      </c>
      <c r="V6" s="7">
        <v>-1.5</v>
      </c>
      <c r="W6">
        <v>5</v>
      </c>
      <c r="X6">
        <v>-2</v>
      </c>
      <c r="Y6" s="15">
        <v>4</v>
      </c>
      <c r="Z6">
        <v>-2.5</v>
      </c>
      <c r="AB6" s="7">
        <v>5</v>
      </c>
      <c r="AC6" s="7">
        <v>3</v>
      </c>
    </row>
    <row r="7" spans="1:29" x14ac:dyDescent="0.25">
      <c r="A7">
        <f t="shared" si="6"/>
        <v>3.8059799999999999</v>
      </c>
      <c r="B7" s="23">
        <v>-7.4325044975942847E-3</v>
      </c>
      <c r="C7" s="19"/>
      <c r="D7">
        <v>1.3714999999999999</v>
      </c>
      <c r="E7" s="19"/>
      <c r="F7">
        <f t="shared" si="0"/>
        <v>3.8059799999999999</v>
      </c>
      <c r="G7">
        <v>7.4325044975942847E-3</v>
      </c>
      <c r="H7" s="19"/>
      <c r="I7">
        <f t="shared" si="1"/>
        <v>3.8059799999999999</v>
      </c>
      <c r="J7" s="23">
        <v>1.0193679918450562E-4</v>
      </c>
      <c r="K7" s="19"/>
      <c r="L7">
        <f t="shared" si="2"/>
        <v>3.8059799999999999</v>
      </c>
      <c r="M7" s="23">
        <v>-1.0193679918450562E-4</v>
      </c>
      <c r="N7" s="19"/>
      <c r="O7">
        <f t="shared" si="3"/>
        <v>3.8059799999999999</v>
      </c>
      <c r="P7">
        <f t="shared" si="4"/>
        <v>-0.99984947972995164</v>
      </c>
      <c r="Q7" s="19"/>
      <c r="R7">
        <f t="shared" si="5"/>
        <v>3.8059799999999999</v>
      </c>
      <c r="S7" s="23">
        <v>1.0001019367991846</v>
      </c>
      <c r="T7" s="19"/>
      <c r="U7">
        <v>9.6999999999999993</v>
      </c>
      <c r="V7" s="7">
        <v>-1.5</v>
      </c>
      <c r="W7">
        <v>5</v>
      </c>
      <c r="X7">
        <v>-2</v>
      </c>
      <c r="Y7" s="15">
        <v>5</v>
      </c>
      <c r="Z7">
        <v>-2</v>
      </c>
      <c r="AB7" s="7">
        <v>7</v>
      </c>
      <c r="AC7" s="7">
        <v>2.5</v>
      </c>
    </row>
    <row r="8" spans="1:29" x14ac:dyDescent="0.25">
      <c r="A8">
        <f t="shared" si="6"/>
        <v>4.8128799999999998</v>
      </c>
      <c r="B8" s="23">
        <v>-1.0123825522346372E-2</v>
      </c>
      <c r="C8" s="19"/>
      <c r="D8">
        <v>1.0068999999999999</v>
      </c>
      <c r="E8" s="19"/>
      <c r="F8">
        <f t="shared" si="0"/>
        <v>4.8128799999999998</v>
      </c>
      <c r="G8">
        <v>1.0123825522346372E-2</v>
      </c>
      <c r="H8" s="19"/>
      <c r="I8">
        <f t="shared" si="1"/>
        <v>4.8128799999999998</v>
      </c>
      <c r="J8" s="23">
        <v>0</v>
      </c>
      <c r="K8" s="19"/>
      <c r="L8">
        <f t="shared" si="2"/>
        <v>4.8128799999999998</v>
      </c>
      <c r="M8" s="23">
        <v>0</v>
      </c>
      <c r="N8" s="19"/>
      <c r="O8">
        <f t="shared" si="3"/>
        <v>4.8128799999999998</v>
      </c>
      <c r="P8">
        <f t="shared" si="4"/>
        <v>-1</v>
      </c>
      <c r="Q8" s="19"/>
      <c r="R8">
        <f t="shared" si="5"/>
        <v>4.8128799999999998</v>
      </c>
      <c r="S8" s="23">
        <v>1</v>
      </c>
      <c r="T8" s="19"/>
      <c r="U8" s="12"/>
      <c r="V8" s="7"/>
      <c r="W8" s="7"/>
      <c r="X8" s="7"/>
      <c r="Y8" s="16">
        <v>6</v>
      </c>
      <c r="Z8" s="12">
        <v>-2</v>
      </c>
      <c r="AB8" s="7">
        <v>9.77</v>
      </c>
      <c r="AC8" s="7">
        <v>2.5</v>
      </c>
    </row>
    <row r="9" spans="1:29" x14ac:dyDescent="0.25">
      <c r="A9">
        <f t="shared" si="6"/>
        <v>5.30288</v>
      </c>
      <c r="B9" s="23">
        <v>-2.0803428405001143E-2</v>
      </c>
      <c r="C9" s="19"/>
      <c r="D9">
        <v>0.49</v>
      </c>
      <c r="E9" s="19"/>
      <c r="F9">
        <f t="shared" si="0"/>
        <v>5.30288</v>
      </c>
      <c r="G9">
        <v>2.0803428405001143E-2</v>
      </c>
      <c r="H9" s="19"/>
      <c r="I9">
        <f t="shared" si="1"/>
        <v>5.30288</v>
      </c>
      <c r="J9" s="23">
        <v>2.0387359836901124E-5</v>
      </c>
      <c r="K9" s="19"/>
      <c r="L9">
        <f t="shared" si="2"/>
        <v>5.30288</v>
      </c>
      <c r="M9" s="23">
        <v>-2.0387359836901124E-5</v>
      </c>
      <c r="N9" s="19"/>
      <c r="O9">
        <f t="shared" si="3"/>
        <v>5.30288</v>
      </c>
      <c r="P9">
        <f t="shared" si="4"/>
        <v>-0.99994155927703965</v>
      </c>
      <c r="Q9" s="19"/>
      <c r="R9">
        <f t="shared" si="5"/>
        <v>5.30288</v>
      </c>
      <c r="S9" s="23">
        <v>1.000020387359837</v>
      </c>
      <c r="T9" s="19"/>
      <c r="W9" s="7"/>
      <c r="X9" s="7"/>
      <c r="Y9" s="16">
        <v>7</v>
      </c>
      <c r="Z9" s="12">
        <v>-2</v>
      </c>
      <c r="AB9" s="7"/>
      <c r="AC9" s="7"/>
    </row>
    <row r="10" spans="1:29" x14ac:dyDescent="0.25">
      <c r="A10">
        <f t="shared" si="6"/>
        <v>5.7928800000000003</v>
      </c>
      <c r="B10" s="23">
        <v>-2.0803428405001143E-2</v>
      </c>
      <c r="C10" s="19"/>
      <c r="D10">
        <v>0.49</v>
      </c>
      <c r="E10" s="19"/>
      <c r="F10">
        <f t="shared" si="0"/>
        <v>5.7928800000000003</v>
      </c>
      <c r="G10">
        <v>2.0803428405001143E-2</v>
      </c>
      <c r="H10" s="19"/>
      <c r="I10">
        <f t="shared" si="1"/>
        <v>5.7928800000000003</v>
      </c>
      <c r="J10" s="23">
        <v>3.0581039755351684E-5</v>
      </c>
      <c r="K10" s="19"/>
      <c r="L10">
        <f t="shared" si="2"/>
        <v>5.7928800000000003</v>
      </c>
      <c r="M10" s="23">
        <v>-3.0581039755351684E-5</v>
      </c>
      <c r="N10" s="19"/>
      <c r="O10">
        <f t="shared" si="3"/>
        <v>5.7928800000000003</v>
      </c>
      <c r="P10">
        <f t="shared" si="4"/>
        <v>-0.99989539021626683</v>
      </c>
      <c r="Q10" s="19"/>
      <c r="R10">
        <f t="shared" si="5"/>
        <v>5.7928800000000003</v>
      </c>
      <c r="S10" s="23">
        <v>1.0000305810397554</v>
      </c>
      <c r="T10" s="19"/>
      <c r="Y10" s="15">
        <v>9.6999999999999993</v>
      </c>
      <c r="Z10">
        <v>-2</v>
      </c>
      <c r="AB10" s="7"/>
      <c r="AC10" s="7"/>
    </row>
    <row r="11" spans="1:29" x14ac:dyDescent="0.25">
      <c r="A11">
        <f t="shared" si="6"/>
        <v>5.8948200000000002</v>
      </c>
      <c r="B11" s="23">
        <v>-0.78897522617789806</v>
      </c>
      <c r="C11" s="19"/>
      <c r="D11">
        <v>0.10194</v>
      </c>
      <c r="E11" s="19"/>
      <c r="F11">
        <f t="shared" si="0"/>
        <v>5.8948200000000002</v>
      </c>
      <c r="G11">
        <v>0.78897522617789806</v>
      </c>
      <c r="H11" s="19"/>
      <c r="I11">
        <f t="shared" si="1"/>
        <v>5.8948200000000002</v>
      </c>
      <c r="J11" s="23">
        <v>3.530157311926606E-3</v>
      </c>
      <c r="K11" s="19"/>
      <c r="L11">
        <f t="shared" si="2"/>
        <v>5.8948200000000002</v>
      </c>
      <c r="M11" s="23">
        <v>-3.530157311926606E-3</v>
      </c>
      <c r="N11" s="19"/>
      <c r="O11">
        <f t="shared" si="3"/>
        <v>5.8948200000000002</v>
      </c>
      <c r="P11">
        <f t="shared" si="4"/>
        <v>-0.98749550525838692</v>
      </c>
      <c r="Q11" s="19"/>
      <c r="R11">
        <f t="shared" si="5"/>
        <v>5.8948200000000002</v>
      </c>
      <c r="S11" s="23">
        <v>1.0035301573119266</v>
      </c>
      <c r="T11" s="19"/>
      <c r="U11" s="17"/>
      <c r="V11" s="18"/>
      <c r="W11" s="19"/>
      <c r="X11" s="19"/>
      <c r="Y11" s="19"/>
      <c r="Z11" s="19"/>
      <c r="AA11" s="19"/>
      <c r="AB11" s="18"/>
      <c r="AC11" s="18"/>
    </row>
    <row r="12" spans="1:29" x14ac:dyDescent="0.25">
      <c r="A12">
        <f t="shared" si="6"/>
        <v>5.9270810000000003</v>
      </c>
      <c r="B12" s="23">
        <v>-3.1439544709892155</v>
      </c>
      <c r="C12" s="19"/>
      <c r="D12">
        <v>3.2260999999999998E-2</v>
      </c>
      <c r="E12" s="19"/>
      <c r="F12">
        <f t="shared" si="0"/>
        <v>5.9270810000000003</v>
      </c>
      <c r="G12">
        <v>3.1439544709892155</v>
      </c>
      <c r="H12" s="19"/>
      <c r="I12">
        <f t="shared" si="1"/>
        <v>5.9270810000000003</v>
      </c>
      <c r="J12" s="23">
        <v>3.3687089194699288E-3</v>
      </c>
      <c r="K12" s="19"/>
      <c r="L12">
        <f t="shared" si="2"/>
        <v>5.9270810000000003</v>
      </c>
      <c r="M12" s="23">
        <v>-3.3687089194699288E-3</v>
      </c>
      <c r="N12" s="19"/>
      <c r="O12">
        <f t="shared" si="3"/>
        <v>5.9270810000000003</v>
      </c>
      <c r="P12">
        <f t="shared" si="4"/>
        <v>-0.98793642013189464</v>
      </c>
      <c r="Q12" s="19"/>
      <c r="R12">
        <f t="shared" si="5"/>
        <v>5.9270810000000003</v>
      </c>
      <c r="S12" s="23">
        <v>1.0033687089194698</v>
      </c>
      <c r="T12" s="19"/>
      <c r="U12" s="12"/>
      <c r="V12" s="7"/>
      <c r="AB12" s="7"/>
      <c r="AC12" s="7"/>
    </row>
    <row r="13" spans="1:29" x14ac:dyDescent="0.25">
      <c r="A13">
        <f t="shared" si="6"/>
        <v>6.1000010000000007</v>
      </c>
      <c r="B13" s="23">
        <v>-0.58478663422987254</v>
      </c>
      <c r="C13" s="19"/>
      <c r="D13">
        <v>0.17291999999999999</v>
      </c>
      <c r="E13" s="19"/>
      <c r="F13">
        <f t="shared" si="0"/>
        <v>6.1000010000000007</v>
      </c>
      <c r="G13">
        <v>0.58478663422987254</v>
      </c>
      <c r="H13" s="19"/>
      <c r="I13">
        <f t="shared" si="1"/>
        <v>6.1000010000000007</v>
      </c>
      <c r="J13" s="23">
        <v>1.1034356778797145E-2</v>
      </c>
      <c r="K13" s="19"/>
      <c r="L13">
        <f t="shared" si="2"/>
        <v>6.1000010000000007</v>
      </c>
      <c r="M13" s="23">
        <v>-1.1034356778797145E-2</v>
      </c>
      <c r="N13" s="19"/>
      <c r="O13">
        <f t="shared" si="3"/>
        <v>6.1000010000000007</v>
      </c>
      <c r="P13">
        <f t="shared" si="4"/>
        <v>-0.95814591739467836</v>
      </c>
      <c r="Q13" s="19"/>
      <c r="R13">
        <f t="shared" si="5"/>
        <v>6.1000010000000007</v>
      </c>
      <c r="S13" s="23">
        <v>1.0110343567787972</v>
      </c>
      <c r="T13" s="19"/>
      <c r="U13" s="33" t="s">
        <v>17</v>
      </c>
      <c r="V13" s="33"/>
      <c r="X13" s="34" t="s">
        <v>18</v>
      </c>
      <c r="Y13" s="34"/>
    </row>
    <row r="14" spans="1:29" x14ac:dyDescent="0.25">
      <c r="A14">
        <f t="shared" si="6"/>
        <v>6.4332110000000009</v>
      </c>
      <c r="B14" s="23">
        <v>-0.40687837374446284</v>
      </c>
      <c r="C14" s="19"/>
      <c r="D14">
        <v>0.33321000000000001</v>
      </c>
      <c r="E14" s="19"/>
      <c r="F14">
        <f t="shared" si="0"/>
        <v>6.4332110000000009</v>
      </c>
      <c r="G14">
        <v>0.40687837374446284</v>
      </c>
      <c r="H14" s="19"/>
      <c r="I14">
        <f t="shared" si="1"/>
        <v>6.4332110000000009</v>
      </c>
      <c r="J14" s="23">
        <v>2.7047400611620795E-3</v>
      </c>
      <c r="K14" s="19"/>
      <c r="L14">
        <f t="shared" si="2"/>
        <v>6.4332110000000009</v>
      </c>
      <c r="M14" s="23">
        <v>-2.7047400611620795E-3</v>
      </c>
      <c r="N14" s="19"/>
      <c r="O14">
        <f t="shared" si="3"/>
        <v>6.4332110000000009</v>
      </c>
      <c r="P14">
        <f t="shared" si="4"/>
        <v>-0.98858930445284965</v>
      </c>
      <c r="Q14" s="19"/>
      <c r="R14">
        <f t="shared" si="5"/>
        <v>6.4332110000000009</v>
      </c>
      <c r="S14" s="23">
        <v>1.0027047400611622</v>
      </c>
      <c r="T14" s="19"/>
      <c r="U14" s="20" t="s">
        <v>11</v>
      </c>
      <c r="V14" s="20" t="s">
        <v>19</v>
      </c>
      <c r="X14" s="21" t="str">
        <f>U14</f>
        <v>Duration (s)</v>
      </c>
      <c r="Y14" s="21" t="s">
        <v>20</v>
      </c>
    </row>
    <row r="15" spans="1:29" x14ac:dyDescent="0.25">
      <c r="A15">
        <f t="shared" si="6"/>
        <v>6.6264210000000006</v>
      </c>
      <c r="B15" s="23">
        <v>-0.76554161594491821</v>
      </c>
      <c r="C15" s="19"/>
      <c r="D15">
        <v>0.19320999999999999</v>
      </c>
      <c r="E15" s="19"/>
      <c r="F15">
        <f t="shared" si="0"/>
        <v>6.6264210000000006</v>
      </c>
      <c r="G15">
        <v>0.76554161594491821</v>
      </c>
      <c r="H15" s="19"/>
      <c r="I15">
        <f t="shared" si="1"/>
        <v>6.6264210000000006</v>
      </c>
      <c r="J15" s="23">
        <v>0</v>
      </c>
      <c r="K15" s="19"/>
      <c r="L15">
        <f t="shared" si="2"/>
        <v>6.6264210000000006</v>
      </c>
      <c r="M15" s="23">
        <v>0</v>
      </c>
      <c r="N15" s="19"/>
      <c r="O15">
        <f t="shared" si="3"/>
        <v>6.6264210000000006</v>
      </c>
      <c r="P15">
        <f t="shared" si="4"/>
        <v>-1</v>
      </c>
      <c r="Q15" s="19"/>
      <c r="R15">
        <f t="shared" si="5"/>
        <v>6.6264210000000006</v>
      </c>
      <c r="S15" s="23">
        <v>1</v>
      </c>
      <c r="T15" s="19"/>
      <c r="U15">
        <v>0.2</v>
      </c>
      <c r="V15">
        <v>3</v>
      </c>
      <c r="X15">
        <v>0.2</v>
      </c>
      <c r="Y15">
        <v>-3</v>
      </c>
    </row>
    <row r="16" spans="1:29" x14ac:dyDescent="0.25">
      <c r="A16">
        <f t="shared" si="6"/>
        <v>6.6360688000000003</v>
      </c>
      <c r="B16" s="23">
        <v>-15.330986921030458</v>
      </c>
      <c r="C16" s="19"/>
      <c r="D16">
        <v>9.6477999999999998E-3</v>
      </c>
      <c r="E16" s="19"/>
      <c r="F16">
        <f t="shared" si="0"/>
        <v>6.6360688000000003</v>
      </c>
      <c r="G16">
        <v>15.330986921030458</v>
      </c>
      <c r="H16" s="19"/>
      <c r="I16">
        <f t="shared" si="1"/>
        <v>6.6360688000000003</v>
      </c>
      <c r="J16" s="23">
        <v>3.2192675840978591E-3</v>
      </c>
      <c r="K16" s="19"/>
      <c r="L16">
        <f t="shared" si="2"/>
        <v>6.6360688000000003</v>
      </c>
      <c r="M16" s="23">
        <v>-3.2192675840978591E-3</v>
      </c>
      <c r="N16" s="19"/>
      <c r="O16">
        <f t="shared" si="3"/>
        <v>6.6360688000000003</v>
      </c>
      <c r="P16">
        <f t="shared" si="4"/>
        <v>-0.98554860309252734</v>
      </c>
      <c r="Q16" s="19"/>
      <c r="R16">
        <f t="shared" si="5"/>
        <v>6.6360688000000003</v>
      </c>
      <c r="S16" s="23">
        <v>1.0032192675840979</v>
      </c>
      <c r="T16" s="19"/>
      <c r="U16">
        <v>1</v>
      </c>
      <c r="V16">
        <v>3</v>
      </c>
      <c r="X16">
        <v>1</v>
      </c>
      <c r="Y16">
        <v>-3</v>
      </c>
    </row>
    <row r="17" spans="1:29" x14ac:dyDescent="0.25">
      <c r="A17">
        <f t="shared" si="6"/>
        <v>6.7057618000000003</v>
      </c>
      <c r="B17" s="23">
        <v>-2.120849422718682</v>
      </c>
      <c r="C17" s="19"/>
      <c r="D17">
        <v>6.9693000000000005E-2</v>
      </c>
      <c r="E17" s="19"/>
      <c r="F17">
        <f t="shared" si="0"/>
        <v>6.7057618000000003</v>
      </c>
      <c r="G17">
        <v>2.120849422718682</v>
      </c>
      <c r="H17" s="19"/>
      <c r="I17">
        <f t="shared" si="1"/>
        <v>6.7057618000000003</v>
      </c>
      <c r="J17" s="23">
        <v>1.3930937818552497E-2</v>
      </c>
      <c r="K17" s="19"/>
      <c r="L17">
        <f t="shared" si="2"/>
        <v>6.7057618000000003</v>
      </c>
      <c r="M17" s="23">
        <v>-1.3930937818552497E-2</v>
      </c>
      <c r="N17" s="19"/>
      <c r="O17">
        <f t="shared" si="3"/>
        <v>6.7057618000000003</v>
      </c>
      <c r="P17">
        <f t="shared" si="4"/>
        <v>-0.93614313530299398</v>
      </c>
      <c r="Q17" s="19"/>
      <c r="R17">
        <f t="shared" si="5"/>
        <v>6.7057618000000003</v>
      </c>
      <c r="S17" s="23">
        <v>1.0139309378185526</v>
      </c>
      <c r="T17" s="19"/>
      <c r="U17">
        <v>2</v>
      </c>
      <c r="V17">
        <v>2</v>
      </c>
      <c r="X17">
        <v>2</v>
      </c>
      <c r="Y17">
        <v>-2</v>
      </c>
    </row>
    <row r="18" spans="1:29" x14ac:dyDescent="0.25">
      <c r="A18">
        <f t="shared" si="6"/>
        <v>6.8181818000000005</v>
      </c>
      <c r="B18" s="23">
        <v>-1.3147870380495741</v>
      </c>
      <c r="C18" s="19"/>
      <c r="D18">
        <v>0.11242000000000001</v>
      </c>
      <c r="E18" s="19"/>
      <c r="F18">
        <f t="shared" si="0"/>
        <v>6.8181818000000005</v>
      </c>
      <c r="G18">
        <v>1.3147870380495741</v>
      </c>
      <c r="H18" s="19"/>
      <c r="I18">
        <f t="shared" si="1"/>
        <v>6.8181818000000005</v>
      </c>
      <c r="J18" s="23">
        <v>3.5183119266055045E-2</v>
      </c>
      <c r="K18" s="19"/>
      <c r="L18">
        <f t="shared" si="2"/>
        <v>6.8181818000000005</v>
      </c>
      <c r="M18" s="23">
        <v>-3.5183119266055045E-2</v>
      </c>
      <c r="N18" s="19"/>
      <c r="O18">
        <f t="shared" si="3"/>
        <v>6.8181818000000005</v>
      </c>
      <c r="P18">
        <f t="shared" si="4"/>
        <v>-0.83327432387590161</v>
      </c>
      <c r="Q18" s="19"/>
      <c r="R18">
        <f t="shared" si="5"/>
        <v>6.8181818000000005</v>
      </c>
      <c r="S18" s="23">
        <v>1.035183119266055</v>
      </c>
      <c r="T18" s="19"/>
      <c r="U18">
        <v>3</v>
      </c>
      <c r="V18">
        <v>2</v>
      </c>
      <c r="X18">
        <v>3</v>
      </c>
      <c r="Y18">
        <v>-2</v>
      </c>
    </row>
    <row r="19" spans="1:29" x14ac:dyDescent="0.25">
      <c r="A19">
        <f t="shared" si="6"/>
        <v>6.9585818000000002</v>
      </c>
      <c r="B19" s="23">
        <v>-1.0861641850428803</v>
      </c>
      <c r="C19" s="19"/>
      <c r="D19">
        <v>0.1404</v>
      </c>
      <c r="E19" s="19"/>
      <c r="F19">
        <f t="shared" si="0"/>
        <v>6.9585818000000002</v>
      </c>
      <c r="G19">
        <v>1.0861641850428803</v>
      </c>
      <c r="H19" s="19"/>
      <c r="I19">
        <f t="shared" si="1"/>
        <v>6.9585818000000002</v>
      </c>
      <c r="J19" s="23">
        <v>0</v>
      </c>
      <c r="K19" s="19"/>
      <c r="L19">
        <f t="shared" si="2"/>
        <v>6.9585818000000002</v>
      </c>
      <c r="M19" s="23">
        <v>0</v>
      </c>
      <c r="N19" s="19"/>
      <c r="O19">
        <f t="shared" si="3"/>
        <v>6.9585818000000002</v>
      </c>
      <c r="P19">
        <f t="shared" si="4"/>
        <v>-1</v>
      </c>
      <c r="Q19" s="19"/>
      <c r="R19">
        <f t="shared" si="5"/>
        <v>6.9585818000000002</v>
      </c>
      <c r="S19" s="23">
        <v>1</v>
      </c>
      <c r="T19" s="19"/>
      <c r="U19">
        <v>5</v>
      </c>
      <c r="V19">
        <v>2</v>
      </c>
      <c r="X19">
        <v>5</v>
      </c>
      <c r="Y19">
        <v>-2</v>
      </c>
    </row>
    <row r="20" spans="1:29" x14ac:dyDescent="0.25">
      <c r="A20">
        <f t="shared" si="6"/>
        <v>7.2732118000000003</v>
      </c>
      <c r="B20" s="23">
        <v>-0.7399918931360987</v>
      </c>
      <c r="C20" s="19"/>
      <c r="D20">
        <v>0.31463000000000002</v>
      </c>
      <c r="E20" s="19"/>
      <c r="F20">
        <f t="shared" si="0"/>
        <v>7.2732118000000003</v>
      </c>
      <c r="G20">
        <v>0.7399918931360987</v>
      </c>
      <c r="H20" s="19"/>
      <c r="I20">
        <f t="shared" si="1"/>
        <v>7.2732118000000003</v>
      </c>
      <c r="J20" s="23">
        <v>9.9972612436289493E-2</v>
      </c>
      <c r="K20" s="19"/>
      <c r="L20">
        <f t="shared" si="2"/>
        <v>7.2732118000000003</v>
      </c>
      <c r="M20" s="23">
        <v>-9.9972612436289493E-2</v>
      </c>
      <c r="N20" s="19"/>
      <c r="O20">
        <f t="shared" si="3"/>
        <v>7.2732118000000003</v>
      </c>
      <c r="P20">
        <f t="shared" si="4"/>
        <v>-0.46090599415597711</v>
      </c>
      <c r="Q20" s="19"/>
      <c r="R20">
        <f t="shared" si="5"/>
        <v>7.2732118000000003</v>
      </c>
      <c r="S20" s="23">
        <v>1.0999726124362894</v>
      </c>
      <c r="T20" s="19"/>
      <c r="U20">
        <v>9.6999999999999993</v>
      </c>
      <c r="V20">
        <v>2</v>
      </c>
      <c r="X20">
        <v>9.77</v>
      </c>
      <c r="Y20">
        <v>-2</v>
      </c>
    </row>
    <row r="21" spans="1:29" x14ac:dyDescent="0.25">
      <c r="A21">
        <f t="shared" si="6"/>
        <v>7.4252818000000005</v>
      </c>
      <c r="B21" s="23">
        <v>-1.5457766746858019</v>
      </c>
      <c r="C21" s="19"/>
      <c r="D21">
        <v>0.15207000000000001</v>
      </c>
      <c r="E21" s="19"/>
      <c r="F21">
        <f t="shared" si="0"/>
        <v>7.4252818000000005</v>
      </c>
      <c r="G21">
        <v>1.5457766746858019</v>
      </c>
      <c r="H21" s="19"/>
      <c r="I21">
        <f t="shared" si="1"/>
        <v>7.4252818000000005</v>
      </c>
      <c r="J21" s="23">
        <v>0</v>
      </c>
      <c r="K21" s="19"/>
      <c r="L21">
        <f t="shared" si="2"/>
        <v>7.4252818000000005</v>
      </c>
      <c r="M21" s="23">
        <v>0</v>
      </c>
      <c r="N21" s="19"/>
      <c r="O21">
        <f t="shared" si="3"/>
        <v>7.4252818000000005</v>
      </c>
      <c r="P21">
        <f t="shared" si="4"/>
        <v>-1</v>
      </c>
      <c r="Q21" s="19"/>
      <c r="R21">
        <f t="shared" si="5"/>
        <v>7.4252818000000005</v>
      </c>
      <c r="S21" s="23">
        <v>1</v>
      </c>
      <c r="T21" s="19"/>
    </row>
    <row r="22" spans="1:29" x14ac:dyDescent="0.25">
      <c r="A22">
        <f t="shared" si="6"/>
        <v>7.4793598000000001</v>
      </c>
      <c r="B22" s="23">
        <v>-4.3468001575404029</v>
      </c>
      <c r="C22" s="19"/>
      <c r="D22">
        <v>5.4078000000000001E-2</v>
      </c>
      <c r="E22" s="19"/>
      <c r="F22">
        <f t="shared" si="0"/>
        <v>7.4793598000000001</v>
      </c>
      <c r="G22">
        <v>4.3468001575404029</v>
      </c>
      <c r="H22" s="19"/>
      <c r="I22">
        <f t="shared" si="1"/>
        <v>7.4793598000000001</v>
      </c>
      <c r="J22" s="23">
        <v>4.3365023445463814E-2</v>
      </c>
      <c r="K22" s="19"/>
      <c r="L22">
        <f t="shared" si="2"/>
        <v>7.4793598000000001</v>
      </c>
      <c r="M22" s="23">
        <v>-4.3365023445463814E-2</v>
      </c>
      <c r="N22" s="19"/>
      <c r="O22">
        <f t="shared" si="3"/>
        <v>7.4793598000000001</v>
      </c>
      <c r="P22">
        <f t="shared" si="4"/>
        <v>-0.75271405690847415</v>
      </c>
      <c r="Q22" s="19"/>
      <c r="R22">
        <f t="shared" si="5"/>
        <v>7.4793598000000001</v>
      </c>
      <c r="S22" s="23">
        <v>1.0433650234454639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x14ac:dyDescent="0.25">
      <c r="A23">
        <f t="shared" si="6"/>
        <v>8.2865497999999995</v>
      </c>
      <c r="B23" s="23">
        <v>-1.2628600352396041E-2</v>
      </c>
      <c r="C23" s="19"/>
      <c r="D23">
        <v>0.80718999999999996</v>
      </c>
      <c r="E23" s="19"/>
      <c r="F23">
        <f t="shared" si="0"/>
        <v>8.2865497999999995</v>
      </c>
      <c r="G23">
        <v>1.2628600352396041E-2</v>
      </c>
      <c r="H23" s="19"/>
      <c r="I23">
        <f t="shared" si="1"/>
        <v>8.2865497999999995</v>
      </c>
      <c r="J23" s="23">
        <v>0</v>
      </c>
      <c r="K23" s="19"/>
      <c r="L23">
        <f t="shared" si="2"/>
        <v>8.2865497999999995</v>
      </c>
      <c r="M23" s="23">
        <v>0</v>
      </c>
      <c r="N23" s="19"/>
      <c r="O23">
        <f t="shared" si="3"/>
        <v>8.2865497999999995</v>
      </c>
      <c r="P23">
        <f t="shared" si="4"/>
        <v>-1</v>
      </c>
      <c r="Q23" s="19"/>
      <c r="R23">
        <f t="shared" si="5"/>
        <v>8.2865497999999995</v>
      </c>
      <c r="S23" s="23">
        <v>1</v>
      </c>
      <c r="T23" s="19"/>
    </row>
    <row r="24" spans="1:29" x14ac:dyDescent="0.25">
      <c r="A24">
        <f t="shared" si="6"/>
        <v>9.2759097999999991</v>
      </c>
      <c r="B24" s="23">
        <v>-9.0669102533319446E-2</v>
      </c>
      <c r="C24" s="19"/>
      <c r="D24">
        <v>0.98936000000000002</v>
      </c>
      <c r="E24" s="19"/>
      <c r="F24">
        <f t="shared" si="0"/>
        <v>9.2759097999999991</v>
      </c>
      <c r="G24">
        <v>9.0669102533319446E-2</v>
      </c>
      <c r="H24" s="19"/>
      <c r="I24">
        <f t="shared" si="1"/>
        <v>9.2759097999999991</v>
      </c>
      <c r="J24" s="23">
        <v>4.7363914373088675E-3</v>
      </c>
      <c r="K24" s="19"/>
      <c r="L24">
        <f t="shared" si="2"/>
        <v>9.2759097999999991</v>
      </c>
      <c r="M24" s="23">
        <v>-4.7363914373088675E-3</v>
      </c>
      <c r="N24" s="19"/>
      <c r="O24">
        <f t="shared" si="3"/>
        <v>9.2759097999999991</v>
      </c>
      <c r="P24">
        <f t="shared" si="4"/>
        <v>-0.95845759708019662</v>
      </c>
      <c r="Q24" s="19"/>
      <c r="R24">
        <f t="shared" si="5"/>
        <v>9.2759097999999991</v>
      </c>
      <c r="S24" s="23">
        <v>1.0047363914373089</v>
      </c>
      <c r="T24" s="19"/>
      <c r="U24" s="27" t="s">
        <v>21</v>
      </c>
      <c r="V24" s="27"/>
      <c r="W24" s="27"/>
      <c r="X24" s="27"/>
      <c r="Z24" s="27" t="s">
        <v>22</v>
      </c>
      <c r="AA24" s="27"/>
    </row>
    <row r="25" spans="1:29" x14ac:dyDescent="0.25">
      <c r="B25" s="23"/>
      <c r="C25" s="19"/>
      <c r="E25" s="19"/>
      <c r="G25" s="23"/>
      <c r="H25" s="19"/>
      <c r="J25" s="23"/>
      <c r="K25" s="19"/>
      <c r="M25" s="23"/>
      <c r="N25" s="19"/>
      <c r="P25" s="23"/>
      <c r="Q25" s="19"/>
      <c r="S25" s="23"/>
      <c r="T25" s="19"/>
      <c r="U25" s="22" t="s">
        <v>13</v>
      </c>
      <c r="V25" s="22" t="s">
        <v>20</v>
      </c>
      <c r="W25" s="22" t="s">
        <v>11</v>
      </c>
      <c r="X25" s="22" t="s">
        <v>23</v>
      </c>
      <c r="Z25" s="22" t="s">
        <v>13</v>
      </c>
      <c r="AA25" s="22" t="s">
        <v>24</v>
      </c>
    </row>
    <row r="26" spans="1:29" x14ac:dyDescent="0.25">
      <c r="B26" s="23"/>
      <c r="C26" s="19"/>
      <c r="E26" s="19"/>
      <c r="G26" s="23"/>
      <c r="H26" s="19"/>
      <c r="J26" s="23"/>
      <c r="K26" s="19"/>
      <c r="M26" s="23"/>
      <c r="N26" s="19"/>
      <c r="P26" s="23"/>
      <c r="Q26" s="19"/>
      <c r="S26" s="23"/>
      <c r="T26" s="19"/>
      <c r="U26">
        <v>0.2</v>
      </c>
      <c r="V26">
        <v>-2</v>
      </c>
      <c r="W26">
        <v>0.2</v>
      </c>
      <c r="X26">
        <v>-2.8</v>
      </c>
      <c r="Z26">
        <v>0.2</v>
      </c>
      <c r="AA26">
        <v>6</v>
      </c>
    </row>
    <row r="27" spans="1:29" x14ac:dyDescent="0.25">
      <c r="B27" s="23"/>
      <c r="C27" s="19"/>
      <c r="E27" s="19"/>
      <c r="G27" s="23"/>
      <c r="H27" s="19"/>
      <c r="J27" s="23"/>
      <c r="K27" s="19"/>
      <c r="M27" s="23"/>
      <c r="N27" s="19"/>
      <c r="P27" s="23"/>
      <c r="Q27" s="19"/>
      <c r="S27" s="23"/>
      <c r="T27" s="19"/>
      <c r="U27">
        <v>0.5</v>
      </c>
      <c r="V27">
        <v>-1.5</v>
      </c>
      <c r="W27">
        <v>1</v>
      </c>
      <c r="X27">
        <v>-2.2000000000000002</v>
      </c>
      <c r="Z27">
        <v>1</v>
      </c>
      <c r="AA27">
        <v>6</v>
      </c>
    </row>
    <row r="28" spans="1:29" x14ac:dyDescent="0.25">
      <c r="B28" s="23"/>
      <c r="C28" s="19"/>
      <c r="E28" s="19"/>
      <c r="G28" s="23"/>
      <c r="H28" s="19"/>
      <c r="J28" s="23"/>
      <c r="K28" s="19"/>
      <c r="M28" s="23"/>
      <c r="N28" s="19"/>
      <c r="P28" s="23"/>
      <c r="Q28" s="19"/>
      <c r="S28" s="23"/>
      <c r="T28" s="19"/>
      <c r="U28">
        <v>4</v>
      </c>
      <c r="V28">
        <v>-1.5</v>
      </c>
      <c r="W28">
        <v>3</v>
      </c>
      <c r="X28">
        <v>-1.5</v>
      </c>
      <c r="Z28">
        <v>2</v>
      </c>
      <c r="AA28">
        <v>4</v>
      </c>
    </row>
    <row r="29" spans="1:29" x14ac:dyDescent="0.25">
      <c r="B29" s="23"/>
      <c r="C29" s="19"/>
      <c r="E29" s="19"/>
      <c r="G29" s="23"/>
      <c r="H29" s="19"/>
      <c r="J29" s="23"/>
      <c r="K29" s="19"/>
      <c r="M29" s="23"/>
      <c r="N29" s="19"/>
      <c r="P29" s="23"/>
      <c r="Q29" s="19"/>
      <c r="S29" s="23"/>
      <c r="T29" s="19"/>
      <c r="U29">
        <v>7</v>
      </c>
      <c r="V29">
        <v>-1.1000000000000001</v>
      </c>
      <c r="W29">
        <v>4</v>
      </c>
      <c r="X29">
        <v>-1.5</v>
      </c>
      <c r="Z29">
        <v>4</v>
      </c>
      <c r="AA29">
        <v>4</v>
      </c>
    </row>
    <row r="30" spans="1:29" x14ac:dyDescent="0.25">
      <c r="B30" s="10"/>
      <c r="C30" s="19"/>
      <c r="E30" s="19"/>
      <c r="G30" s="25"/>
      <c r="H30" s="19"/>
      <c r="J30" s="10"/>
      <c r="K30" s="19"/>
      <c r="M30" s="10"/>
      <c r="N30" s="19"/>
      <c r="P30" s="10"/>
      <c r="Q30" s="19"/>
      <c r="S30" s="10"/>
      <c r="T30" s="19"/>
      <c r="U30">
        <v>9.6999999999999993</v>
      </c>
      <c r="V30">
        <v>-1.1000000000000001</v>
      </c>
      <c r="W30">
        <v>7</v>
      </c>
      <c r="X30">
        <v>-1.1000000000000001</v>
      </c>
      <c r="Z30">
        <v>5</v>
      </c>
      <c r="AA30">
        <v>3</v>
      </c>
    </row>
    <row r="31" spans="1:29" x14ac:dyDescent="0.25">
      <c r="C31" s="19"/>
      <c r="E31" s="19"/>
      <c r="H31" s="19"/>
      <c r="K31" s="19"/>
      <c r="N31" s="19"/>
      <c r="Q31" s="19"/>
      <c r="T31" s="19"/>
      <c r="W31">
        <v>9.6999999999999993</v>
      </c>
      <c r="X31">
        <v>-1.1000000000000001</v>
      </c>
      <c r="Z31">
        <v>6</v>
      </c>
      <c r="AA31">
        <v>2</v>
      </c>
    </row>
    <row r="32" spans="1:29" x14ac:dyDescent="0.25">
      <c r="C32" s="19"/>
      <c r="E32" s="19"/>
      <c r="H32" s="19"/>
      <c r="K32" s="19"/>
      <c r="N32" s="19"/>
      <c r="Q32" s="19"/>
      <c r="T32" s="19"/>
      <c r="Z32">
        <v>9.6999999999999993</v>
      </c>
      <c r="AA32">
        <v>2</v>
      </c>
    </row>
    <row r="33" spans="1:29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x14ac:dyDescent="0.25">
      <c r="R34" t="s">
        <v>25</v>
      </c>
    </row>
    <row r="35" spans="1:29" x14ac:dyDescent="0.25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G35" t="s">
        <v>25</v>
      </c>
      <c r="H35" t="s">
        <v>31</v>
      </c>
      <c r="I35" t="s">
        <v>32</v>
      </c>
      <c r="J35" t="s">
        <v>33</v>
      </c>
      <c r="K35" t="s">
        <v>34</v>
      </c>
      <c r="N35" t="s">
        <v>35</v>
      </c>
      <c r="O35" t="s">
        <v>36</v>
      </c>
      <c r="R35">
        <v>0.22867999999999999</v>
      </c>
      <c r="V35" t="s">
        <v>37</v>
      </c>
      <c r="W35" t="s">
        <v>38</v>
      </c>
      <c r="Y35" t="s">
        <v>39</v>
      </c>
      <c r="AA35" t="s">
        <v>37</v>
      </c>
      <c r="AB35" t="s">
        <v>39</v>
      </c>
    </row>
    <row r="36" spans="1:29" x14ac:dyDescent="0.25">
      <c r="A36">
        <f>A3</f>
        <v>0.22867999999999999</v>
      </c>
      <c r="B36">
        <f>H36</f>
        <v>6.1149025622827341E-2</v>
      </c>
      <c r="C36">
        <f>I36</f>
        <v>0</v>
      </c>
      <c r="D36" s="26">
        <v>0</v>
      </c>
      <c r="E36" s="26">
        <v>0</v>
      </c>
      <c r="G36">
        <v>0.22867999999999999</v>
      </c>
      <c r="H36">
        <f t="shared" ref="H36:H57" si="7">SQRT(B3^2+G3^2)</f>
        <v>6.1149025622827341E-2</v>
      </c>
      <c r="I36">
        <f t="shared" ref="I36:I57" si="8">SQRT(J3^2+M3^2)</f>
        <v>0</v>
      </c>
      <c r="J36">
        <f t="shared" ref="J36:J57" si="9">SQRT(P3^2+S3^2)</f>
        <v>1.4142135623730951</v>
      </c>
      <c r="K36">
        <f>SQRT(H36^2+I36^2+J36^2)</f>
        <v>1.4155349530600159</v>
      </c>
      <c r="N36">
        <f t="shared" ref="N36:N57" si="10">SQRT(H36^2+I36^2)</f>
        <v>6.1149025622827341E-2</v>
      </c>
      <c r="O36">
        <f t="shared" ref="O36:O57" si="11">SQRT(H36^2+J36^2)</f>
        <v>1.4155349530600159</v>
      </c>
      <c r="R36">
        <v>1.5164</v>
      </c>
      <c r="V36" t="s">
        <v>40</v>
      </c>
      <c r="W36">
        <f>SQRT((X3)^2+AC3^2)</f>
        <v>6.324555320336759</v>
      </c>
      <c r="Y36">
        <f>SQRT(V15^2+(Y15)^2)</f>
        <v>4.2426406871192848</v>
      </c>
      <c r="AA36" t="s">
        <v>41</v>
      </c>
      <c r="AB36">
        <f>SQRT(V26^2+AA26^2)</f>
        <v>6.324555320336759</v>
      </c>
    </row>
    <row r="37" spans="1:29" x14ac:dyDescent="0.25">
      <c r="A37">
        <f t="shared" ref="A37:A57" si="12">A4</f>
        <v>1.74508</v>
      </c>
      <c r="B37">
        <f t="shared" ref="B37:B57" si="13">H37</f>
        <v>1.3404521862002042E-2</v>
      </c>
      <c r="C37">
        <f t="shared" ref="C37:C57" si="14">I37</f>
        <v>5.2096245202267822E-4</v>
      </c>
      <c r="D37" s="26">
        <v>-0.26050000000000001</v>
      </c>
      <c r="E37" s="26">
        <v>0</v>
      </c>
      <c r="G37">
        <v>1.5164</v>
      </c>
      <c r="H37">
        <f t="shared" si="7"/>
        <v>1.3404521862002042E-2</v>
      </c>
      <c r="I37">
        <f t="shared" si="8"/>
        <v>5.2096245202267822E-4</v>
      </c>
      <c r="J37">
        <f t="shared" si="9"/>
        <v>1.4143932239751624</v>
      </c>
      <c r="K37">
        <f t="shared" ref="K37:K57" si="15">SQRT(H37^2+I37^2+J37^2)</f>
        <v>1.4144568373178021</v>
      </c>
      <c r="N37">
        <f t="shared" si="10"/>
        <v>1.3414641561566533E-2</v>
      </c>
      <c r="O37">
        <f t="shared" si="11"/>
        <v>1.4144567413792486</v>
      </c>
      <c r="R37">
        <v>0.50777000000000005</v>
      </c>
      <c r="V37" t="s">
        <v>42</v>
      </c>
      <c r="W37">
        <f>SQRT((Z3)^2+AC3^2)</f>
        <v>6.946221994724902</v>
      </c>
      <c r="AA37" t="s">
        <v>43</v>
      </c>
      <c r="AB37">
        <f>SQRT(X26^2+AA26^2)</f>
        <v>6.6211781428987395</v>
      </c>
    </row>
    <row r="38" spans="1:29" x14ac:dyDescent="0.25">
      <c r="A38">
        <f t="shared" si="12"/>
        <v>2.25285</v>
      </c>
      <c r="B38">
        <f t="shared" si="13"/>
        <v>0.16949359185308974</v>
      </c>
      <c r="C38">
        <f t="shared" si="14"/>
        <v>0</v>
      </c>
      <c r="D38" s="26">
        <v>1.7114</v>
      </c>
      <c r="E38" s="26">
        <v>0</v>
      </c>
      <c r="G38">
        <v>0.50777000000000005</v>
      </c>
      <c r="H38">
        <f t="shared" si="7"/>
        <v>0.16949359185308974</v>
      </c>
      <c r="I38">
        <f t="shared" si="8"/>
        <v>0</v>
      </c>
      <c r="J38">
        <f t="shared" si="9"/>
        <v>1.4142135623730951</v>
      </c>
      <c r="K38">
        <f t="shared" si="15"/>
        <v>1.4243342577075306</v>
      </c>
      <c r="N38">
        <f t="shared" si="10"/>
        <v>0.16949359185308974</v>
      </c>
      <c r="O38">
        <f t="shared" si="11"/>
        <v>1.4243342577075306</v>
      </c>
      <c r="R38">
        <v>0.18163000000000001</v>
      </c>
    </row>
    <row r="39" spans="1:29" x14ac:dyDescent="0.25">
      <c r="A39">
        <f t="shared" si="12"/>
        <v>2.4344800000000002</v>
      </c>
      <c r="B39">
        <f t="shared" si="13"/>
        <v>0.47860333402363686</v>
      </c>
      <c r="C39">
        <f t="shared" si="14"/>
        <v>5.7717482158830945E-3</v>
      </c>
      <c r="D39" s="26">
        <v>-4.7624000000000004</v>
      </c>
      <c r="E39" s="26">
        <v>0</v>
      </c>
      <c r="G39">
        <v>0.18163000000000001</v>
      </c>
      <c r="H39">
        <f t="shared" si="7"/>
        <v>0.47860333402363686</v>
      </c>
      <c r="I39">
        <f t="shared" si="8"/>
        <v>5.7717482158830945E-3</v>
      </c>
      <c r="J39">
        <f t="shared" si="9"/>
        <v>1.4153635120077372</v>
      </c>
      <c r="K39">
        <f t="shared" si="15"/>
        <v>1.4941045263096169</v>
      </c>
      <c r="N39">
        <f t="shared" si="10"/>
        <v>0.47863813514596648</v>
      </c>
      <c r="O39">
        <f t="shared" si="11"/>
        <v>1.4940933780930217</v>
      </c>
      <c r="R39">
        <v>1.3714999999999999</v>
      </c>
    </row>
    <row r="40" spans="1:29" x14ac:dyDescent="0.25">
      <c r="A40">
        <f t="shared" si="12"/>
        <v>3.8059799999999999</v>
      </c>
      <c r="B40">
        <f t="shared" si="13"/>
        <v>1.0511148662896864E-2</v>
      </c>
      <c r="C40">
        <f t="shared" si="14"/>
        <v>1.4416040391163049E-4</v>
      </c>
      <c r="D40" s="26">
        <v>0.46660000000000001</v>
      </c>
      <c r="E40" s="26">
        <v>0</v>
      </c>
      <c r="G40">
        <v>1.3714999999999999</v>
      </c>
      <c r="H40">
        <f t="shared" si="7"/>
        <v>1.0511148662896864E-2</v>
      </c>
      <c r="I40">
        <f t="shared" si="8"/>
        <v>1.4416040391163049E-4</v>
      </c>
      <c r="J40">
        <f t="shared" si="9"/>
        <v>1.4141792199384544</v>
      </c>
      <c r="K40">
        <f t="shared" si="15"/>
        <v>1.414218289775016</v>
      </c>
      <c r="N40">
        <f t="shared" si="10"/>
        <v>1.0512137196382785E-2</v>
      </c>
      <c r="O40">
        <f t="shared" si="11"/>
        <v>1.4142182824274154</v>
      </c>
      <c r="R40">
        <v>1.0068999999999999</v>
      </c>
    </row>
    <row r="41" spans="1:29" x14ac:dyDescent="0.25">
      <c r="A41">
        <f t="shared" si="12"/>
        <v>4.8128799999999998</v>
      </c>
      <c r="B41">
        <f t="shared" si="13"/>
        <v>1.4317251356801123E-2</v>
      </c>
      <c r="C41">
        <f t="shared" si="14"/>
        <v>0</v>
      </c>
      <c r="D41" s="26">
        <v>-0.2412</v>
      </c>
      <c r="E41" s="26">
        <v>0</v>
      </c>
      <c r="G41">
        <v>1.0068999999999999</v>
      </c>
      <c r="H41">
        <f t="shared" si="7"/>
        <v>1.4317251356801123E-2</v>
      </c>
      <c r="I41">
        <f t="shared" si="8"/>
        <v>0</v>
      </c>
      <c r="J41">
        <f t="shared" si="9"/>
        <v>1.4142135623730951</v>
      </c>
      <c r="K41">
        <f t="shared" si="15"/>
        <v>1.4142860331935736</v>
      </c>
      <c r="N41">
        <f t="shared" si="10"/>
        <v>1.4317251356801123E-2</v>
      </c>
      <c r="O41">
        <f t="shared" si="11"/>
        <v>1.4142860331935736</v>
      </c>
      <c r="R41">
        <v>0.49</v>
      </c>
    </row>
    <row r="42" spans="1:29" x14ac:dyDescent="0.25">
      <c r="A42">
        <f t="shared" si="12"/>
        <v>5.30288</v>
      </c>
      <c r="B42">
        <f t="shared" si="13"/>
        <v>2.9420490594210303E-2</v>
      </c>
      <c r="C42">
        <f t="shared" si="14"/>
        <v>2.8832080782326101E-5</v>
      </c>
      <c r="D42" s="26">
        <v>0</v>
      </c>
      <c r="E42" s="26">
        <v>0</v>
      </c>
      <c r="G42">
        <v>0.49</v>
      </c>
      <c r="H42">
        <f t="shared" si="7"/>
        <v>2.9420490594210303E-2</v>
      </c>
      <c r="I42">
        <f t="shared" si="8"/>
        <v>2.8832080782326101E-5</v>
      </c>
      <c r="J42">
        <f t="shared" si="9"/>
        <v>1.4141866556804712</v>
      </c>
      <c r="K42">
        <f t="shared" si="15"/>
        <v>1.4144926522265178</v>
      </c>
      <c r="N42">
        <f t="shared" si="10"/>
        <v>2.9420504721926494E-2</v>
      </c>
      <c r="O42">
        <f t="shared" si="11"/>
        <v>1.4144926519326706</v>
      </c>
      <c r="R42">
        <v>0.49</v>
      </c>
      <c r="T42" t="s">
        <v>44</v>
      </c>
      <c r="U42" t="s">
        <v>45</v>
      </c>
      <c r="V42" t="s">
        <v>46</v>
      </c>
      <c r="W42" t="s">
        <v>39</v>
      </c>
      <c r="X42" t="s">
        <v>47</v>
      </c>
      <c r="Y42" t="s">
        <v>48</v>
      </c>
    </row>
    <row r="43" spans="1:29" x14ac:dyDescent="0.25">
      <c r="A43">
        <f t="shared" si="12"/>
        <v>5.7928800000000003</v>
      </c>
      <c r="B43">
        <f t="shared" si="13"/>
        <v>2.9420490594210303E-2</v>
      </c>
      <c r="C43">
        <f t="shared" si="14"/>
        <v>4.3248121173489147E-5</v>
      </c>
      <c r="D43" s="26">
        <v>0</v>
      </c>
      <c r="E43" s="26">
        <v>0</v>
      </c>
      <c r="G43">
        <v>0.49</v>
      </c>
      <c r="H43">
        <f t="shared" si="7"/>
        <v>2.9420490594210303E-2</v>
      </c>
      <c r="I43">
        <f t="shared" si="8"/>
        <v>4.3248121173489147E-5</v>
      </c>
      <c r="J43">
        <f t="shared" si="9"/>
        <v>1.4141612193772148</v>
      </c>
      <c r="K43">
        <f t="shared" si="15"/>
        <v>1.4144672217932994</v>
      </c>
      <c r="N43">
        <f t="shared" si="10"/>
        <v>2.9420522381562193E-2</v>
      </c>
      <c r="O43">
        <f t="shared" si="11"/>
        <v>1.4144672211321319</v>
      </c>
      <c r="R43">
        <v>0.10194</v>
      </c>
      <c r="T43">
        <v>0</v>
      </c>
      <c r="U43">
        <f>W36*COS(RADIANS(T43))</f>
        <v>6.324555320336759</v>
      </c>
      <c r="V43">
        <f>W37*COS(RADIANS(T43))</f>
        <v>6.946221994724902</v>
      </c>
      <c r="W43">
        <f>Y36*COS(RADIANS(T43))</f>
        <v>4.2426406871192848</v>
      </c>
      <c r="X43">
        <f>AB36*SIN(RADIANS(T43))</f>
        <v>0</v>
      </c>
      <c r="Y43">
        <f>AB37*SIN(RADIANS(T43))</f>
        <v>0</v>
      </c>
    </row>
    <row r="44" spans="1:29" x14ac:dyDescent="0.25">
      <c r="A44">
        <f t="shared" si="12"/>
        <v>5.8948200000000002</v>
      </c>
      <c r="B44">
        <f t="shared" si="13"/>
        <v>1.1157794652371635</v>
      </c>
      <c r="C44">
        <f t="shared" si="14"/>
        <v>4.9923963478371546E-3</v>
      </c>
      <c r="D44" s="26">
        <v>189.559</v>
      </c>
      <c r="E44" s="26">
        <v>0</v>
      </c>
      <c r="G44">
        <v>0.10194</v>
      </c>
      <c r="H44">
        <f t="shared" si="7"/>
        <v>1.1157794652371635</v>
      </c>
      <c r="I44">
        <f t="shared" si="8"/>
        <v>4.9923963478371546E-3</v>
      </c>
      <c r="J44">
        <f t="shared" si="9"/>
        <v>1.4079134027133975</v>
      </c>
      <c r="K44">
        <f t="shared" si="15"/>
        <v>1.7964433997780842</v>
      </c>
      <c r="N44">
        <f t="shared" si="10"/>
        <v>1.1157906340645742</v>
      </c>
      <c r="O44">
        <f t="shared" si="11"/>
        <v>1.7964364627186089</v>
      </c>
      <c r="R44">
        <v>3.2260999999999998E-2</v>
      </c>
      <c r="T44">
        <f>T43+15</f>
        <v>15</v>
      </c>
      <c r="U44">
        <f>W36*COS(RADIANS(T44))</f>
        <v>6.1090513237072068</v>
      </c>
      <c r="V44">
        <f>W37*COS(RADIANS(T44))</f>
        <v>6.7095352198419516</v>
      </c>
      <c r="W44">
        <f>Y36*COS(RADIANS(T44))</f>
        <v>4.098076211353316</v>
      </c>
      <c r="X44">
        <f>AB36*SIN(RADIANS(T44))</f>
        <v>1.6369153687076272</v>
      </c>
      <c r="Y44">
        <f>AB37*SIN(RADIANS(T44))</f>
        <v>1.7136870043987333</v>
      </c>
    </row>
    <row r="45" spans="1:29" x14ac:dyDescent="0.25">
      <c r="A45">
        <f t="shared" si="12"/>
        <v>5.9270810000000003</v>
      </c>
      <c r="B45">
        <f t="shared" si="13"/>
        <v>4.4462230523564781</v>
      </c>
      <c r="C45">
        <f t="shared" si="14"/>
        <v>4.7640738416015876E-3</v>
      </c>
      <c r="D45" s="26">
        <v>-48.109200000000001</v>
      </c>
      <c r="E45" s="26">
        <v>0</v>
      </c>
      <c r="G45">
        <v>3.2260999999999998E-2</v>
      </c>
      <c r="H45">
        <f t="shared" si="7"/>
        <v>4.4462230523564781</v>
      </c>
      <c r="I45">
        <f t="shared" si="8"/>
        <v>4.7640738416015876E-3</v>
      </c>
      <c r="J45">
        <f t="shared" si="9"/>
        <v>1.4081076437054616</v>
      </c>
      <c r="K45">
        <f t="shared" si="15"/>
        <v>4.663870631135417</v>
      </c>
      <c r="N45">
        <f t="shared" si="10"/>
        <v>4.4462256046792907</v>
      </c>
      <c r="O45">
        <f t="shared" si="11"/>
        <v>4.6638681979198235</v>
      </c>
      <c r="R45">
        <v>0.17291999999999999</v>
      </c>
      <c r="T45">
        <f t="shared" ref="T45:T67" si="16">T44+15</f>
        <v>30</v>
      </c>
      <c r="U45">
        <f>W36*COS(RADIANS(T45))</f>
        <v>5.4772255750516621</v>
      </c>
      <c r="V45">
        <f>W37*COS(RADIANS(T45))</f>
        <v>6.0156047077579826</v>
      </c>
      <c r="W45">
        <f>Y36*COS(RADIANS(T45))</f>
        <v>3.6742346141747673</v>
      </c>
      <c r="X45">
        <f>AB36*SIN(RADIANS(T45))</f>
        <v>3.1622776601683791</v>
      </c>
      <c r="Y45">
        <f>AB37*SIN(RADIANS(T45))</f>
        <v>3.3105890714493693</v>
      </c>
    </row>
    <row r="46" spans="1:29" x14ac:dyDescent="0.25">
      <c r="A46">
        <f t="shared" si="12"/>
        <v>6.1000010000000007</v>
      </c>
      <c r="B46">
        <f t="shared" si="13"/>
        <v>0.82701318922240019</v>
      </c>
      <c r="C46">
        <f t="shared" si="14"/>
        <v>1.5604937008638421E-2</v>
      </c>
      <c r="D46" s="26">
        <v>-59.999099999999999</v>
      </c>
      <c r="E46" s="26">
        <v>5.1162999999999998</v>
      </c>
      <c r="G46">
        <v>0.17291999999999999</v>
      </c>
      <c r="H46">
        <f t="shared" si="7"/>
        <v>0.82701318922240019</v>
      </c>
      <c r="I46">
        <f t="shared" si="8"/>
        <v>1.5604937008638421E-2</v>
      </c>
      <c r="J46">
        <f t="shared" si="9"/>
        <v>1.3929228512761236</v>
      </c>
      <c r="K46">
        <f t="shared" si="15"/>
        <v>1.6200087650423547</v>
      </c>
      <c r="N46">
        <f t="shared" si="10"/>
        <v>0.82716040113562561</v>
      </c>
      <c r="O46">
        <f t="shared" si="11"/>
        <v>1.6199336050452844</v>
      </c>
      <c r="R46">
        <v>0.33321000000000001</v>
      </c>
      <c r="T46">
        <f>T45+15</f>
        <v>45</v>
      </c>
      <c r="U46">
        <f>W36*COS(RADIANS(T46))</f>
        <v>4.4721359549995796</v>
      </c>
      <c r="V46">
        <f>W37*COS(RADIANS(T46))</f>
        <v>4.9117206760971257</v>
      </c>
      <c r="W46">
        <f>Y36*COS(RADIANS(T46))</f>
        <v>3</v>
      </c>
      <c r="X46">
        <f>AB36*SIN(RADIANS(T46))</f>
        <v>4.4721359549995796</v>
      </c>
      <c r="Y46">
        <f>AB37*SIN(RADIANS(T46))</f>
        <v>4.6818799642878499</v>
      </c>
    </row>
    <row r="47" spans="1:29" x14ac:dyDescent="0.25">
      <c r="A47">
        <f t="shared" si="12"/>
        <v>6.4332110000000009</v>
      </c>
      <c r="B47">
        <f t="shared" si="13"/>
        <v>0.57541291438572839</v>
      </c>
      <c r="C47">
        <f t="shared" si="14"/>
        <v>3.8250800771892474E-3</v>
      </c>
      <c r="D47" s="26">
        <v>299.18299999999999</v>
      </c>
      <c r="E47" s="26">
        <v>-26.674600000000002</v>
      </c>
      <c r="G47">
        <v>0.33321000000000001</v>
      </c>
      <c r="H47">
        <f t="shared" si="7"/>
        <v>0.57541291438572839</v>
      </c>
      <c r="I47">
        <f t="shared" si="8"/>
        <v>3.8250800771892474E-3</v>
      </c>
      <c r="J47">
        <f t="shared" si="9"/>
        <v>1.4080928977236167</v>
      </c>
      <c r="K47">
        <f t="shared" si="15"/>
        <v>1.5211312441400862</v>
      </c>
      <c r="N47">
        <f t="shared" si="10"/>
        <v>0.57542562793072971</v>
      </c>
      <c r="O47">
        <f t="shared" si="11"/>
        <v>1.5211264348046711</v>
      </c>
      <c r="R47">
        <v>0.19320999999999999</v>
      </c>
      <c r="T47">
        <f t="shared" si="16"/>
        <v>60</v>
      </c>
      <c r="U47">
        <f>W36*COS(RADIANS(T47))</f>
        <v>3.1622776601683804</v>
      </c>
      <c r="V47">
        <f>W37*COS(RADIANS(T47))</f>
        <v>3.4731109973624519</v>
      </c>
      <c r="W47">
        <f>Y36*COS(RADIANS(T47))</f>
        <v>2.1213203435596428</v>
      </c>
      <c r="X47">
        <f>AB36*SIN(RADIANS(T47))</f>
        <v>5.4772255750516612</v>
      </c>
      <c r="Y47">
        <f>AB37*SIN(RADIANS(T47))</f>
        <v>5.7341084747325803</v>
      </c>
    </row>
    <row r="48" spans="1:29" x14ac:dyDescent="0.25">
      <c r="A48">
        <f t="shared" si="12"/>
        <v>6.6264210000000006</v>
      </c>
      <c r="B48">
        <f t="shared" si="13"/>
        <v>1.0826393358303186</v>
      </c>
      <c r="C48">
        <f t="shared" si="14"/>
        <v>0</v>
      </c>
      <c r="D48" s="26">
        <v>-51.552199999999999</v>
      </c>
      <c r="E48" s="26">
        <v>0</v>
      </c>
      <c r="G48">
        <v>0.19320999999999999</v>
      </c>
      <c r="H48">
        <f t="shared" si="7"/>
        <v>1.0826393358303186</v>
      </c>
      <c r="I48">
        <f t="shared" si="8"/>
        <v>0</v>
      </c>
      <c r="J48">
        <f t="shared" si="9"/>
        <v>1.4142135623730951</v>
      </c>
      <c r="K48">
        <f t="shared" si="15"/>
        <v>1.7810412492379601</v>
      </c>
      <c r="N48">
        <f t="shared" si="10"/>
        <v>1.0826393358303186</v>
      </c>
      <c r="O48">
        <f t="shared" si="11"/>
        <v>1.7810412492379601</v>
      </c>
      <c r="R48">
        <v>9.6477999999999998E-3</v>
      </c>
      <c r="T48">
        <f t="shared" si="16"/>
        <v>75</v>
      </c>
      <c r="U48">
        <f>W36*COS(RADIANS(T48))</f>
        <v>1.6369153687076272</v>
      </c>
      <c r="V48">
        <f>W37*COS(RADIANS(T48))</f>
        <v>1.7978145437448261</v>
      </c>
      <c r="W48">
        <f>Y36*COS(RADIANS(T48))</f>
        <v>1.0980762113533158</v>
      </c>
      <c r="X48">
        <f>AB36*SIN(RADIANS(T48))</f>
        <v>6.1090513237072068</v>
      </c>
      <c r="Y48">
        <f>AB37*SIN(RADIANS(T48))</f>
        <v>6.3955669686865839</v>
      </c>
    </row>
    <row r="49" spans="1:25" x14ac:dyDescent="0.25">
      <c r="A49">
        <f t="shared" si="12"/>
        <v>6.6360688000000003</v>
      </c>
      <c r="B49">
        <f t="shared" si="13"/>
        <v>21.681289628285814</v>
      </c>
      <c r="C49">
        <f t="shared" si="14"/>
        <v>4.5527318783392607E-3</v>
      </c>
      <c r="D49" s="26">
        <v>-6.4782999999999999</v>
      </c>
      <c r="E49" s="26">
        <v>0</v>
      </c>
      <c r="G49">
        <v>9.6477999999999998E-3</v>
      </c>
      <c r="H49">
        <f t="shared" si="7"/>
        <v>21.681289628285814</v>
      </c>
      <c r="I49">
        <f t="shared" si="8"/>
        <v>4.5527318783392607E-3</v>
      </c>
      <c r="J49">
        <f t="shared" si="9"/>
        <v>1.4063267571619356</v>
      </c>
      <c r="K49">
        <f t="shared" si="15"/>
        <v>21.72685194916399</v>
      </c>
      <c r="N49">
        <f t="shared" si="10"/>
        <v>21.681290106287069</v>
      </c>
      <c r="O49">
        <f t="shared" si="11"/>
        <v>21.726851472165119</v>
      </c>
      <c r="R49">
        <v>6.9693000000000005E-2</v>
      </c>
      <c r="T49">
        <f t="shared" si="16"/>
        <v>90</v>
      </c>
      <c r="U49">
        <f>W36*COS(RADIANS(T49))</f>
        <v>3.8742595893473363E-16</v>
      </c>
      <c r="V49">
        <f>W37*COS(RADIANS(T49))</f>
        <v>4.2550765721447432E-16</v>
      </c>
      <c r="W49">
        <f>Y36*COS(RADIANS(T49))</f>
        <v>2.5989323412783186E-16</v>
      </c>
      <c r="X49">
        <f>AB36*SIN(RADIANS(T49))</f>
        <v>6.324555320336759</v>
      </c>
      <c r="Y49">
        <f>AB37*SIN(RADIANS(T49))</f>
        <v>6.6211781428987395</v>
      </c>
    </row>
    <row r="50" spans="1:25" x14ac:dyDescent="0.25">
      <c r="A50">
        <f t="shared" si="12"/>
        <v>6.7057618000000003</v>
      </c>
      <c r="B50">
        <f t="shared" si="13"/>
        <v>2.9993340173599092</v>
      </c>
      <c r="C50">
        <f t="shared" si="14"/>
        <v>1.9701321199573203E-2</v>
      </c>
      <c r="D50" s="26">
        <v>0.28179999999999999</v>
      </c>
      <c r="E50" s="26">
        <v>0</v>
      </c>
      <c r="G50">
        <v>6.9693000000000005E-2</v>
      </c>
      <c r="H50">
        <f t="shared" si="7"/>
        <v>2.9993340173599092</v>
      </c>
      <c r="I50">
        <f t="shared" si="8"/>
        <v>1.9701321199573203E-2</v>
      </c>
      <c r="J50">
        <f t="shared" si="9"/>
        <v>1.3800072160827745</v>
      </c>
      <c r="K50">
        <f t="shared" si="15"/>
        <v>3.3016378672092235</v>
      </c>
      <c r="N50">
        <f t="shared" si="10"/>
        <v>2.9993987213688915</v>
      </c>
      <c r="O50">
        <f t="shared" si="11"/>
        <v>3.3015790864573971</v>
      </c>
      <c r="R50">
        <v>0.11242000000000001</v>
      </c>
      <c r="T50">
        <f t="shared" si="16"/>
        <v>105</v>
      </c>
      <c r="U50">
        <f>W36*COS(RADIANS(T50))</f>
        <v>-1.6369153687076279</v>
      </c>
      <c r="V50">
        <f>W37*COS(RADIANS(T50))</f>
        <v>-1.7978145437448267</v>
      </c>
      <c r="W50">
        <f>Y36*COS(RADIANS(T50))</f>
        <v>-1.0980762113533162</v>
      </c>
      <c r="X50">
        <f>AB36*SIN(RADIANS(T50))</f>
        <v>6.1090513237072068</v>
      </c>
      <c r="Y50">
        <f>AB37*SIN(RADIANS(T50))</f>
        <v>6.3955669686865839</v>
      </c>
    </row>
    <row r="51" spans="1:25" x14ac:dyDescent="0.25">
      <c r="A51">
        <f t="shared" si="12"/>
        <v>6.8181818000000005</v>
      </c>
      <c r="B51">
        <f t="shared" si="13"/>
        <v>1.8593896608420581</v>
      </c>
      <c r="C51">
        <f t="shared" si="14"/>
        <v>4.975644443264518E-2</v>
      </c>
      <c r="D51" s="26">
        <v>-0.17469999999999999</v>
      </c>
      <c r="E51" s="26">
        <v>0</v>
      </c>
      <c r="G51">
        <v>0.11242000000000001</v>
      </c>
      <c r="H51">
        <f t="shared" si="7"/>
        <v>1.8593896608420581</v>
      </c>
      <c r="I51">
        <f t="shared" si="8"/>
        <v>4.975644443264518E-2</v>
      </c>
      <c r="J51">
        <f t="shared" si="9"/>
        <v>1.3288905858814113</v>
      </c>
      <c r="K51">
        <f t="shared" si="15"/>
        <v>2.2859912081749494</v>
      </c>
      <c r="N51">
        <f t="shared" si="10"/>
        <v>1.8600552719231016</v>
      </c>
      <c r="O51">
        <f t="shared" si="11"/>
        <v>2.2854496494323793</v>
      </c>
      <c r="R51">
        <v>0.1404</v>
      </c>
      <c r="T51">
        <f t="shared" si="16"/>
        <v>120</v>
      </c>
      <c r="U51">
        <f>W36*COS(RADIANS(T51))</f>
        <v>-3.1622776601683782</v>
      </c>
      <c r="V51">
        <f>W37*COS(RADIANS(T51))</f>
        <v>-3.4731109973624497</v>
      </c>
      <c r="W51">
        <f>Y36*COS(RADIANS(T51))</f>
        <v>-2.1213203435596415</v>
      </c>
      <c r="X51">
        <f>AB36*SIN(RADIANS(T51))</f>
        <v>5.4772255750516621</v>
      </c>
      <c r="Y51">
        <f>AB37*SIN(RADIANS(T51))</f>
        <v>5.7341084747325812</v>
      </c>
    </row>
    <row r="52" spans="1:25" x14ac:dyDescent="0.25">
      <c r="A52">
        <f t="shared" si="12"/>
        <v>6.9585818000000002</v>
      </c>
      <c r="B52">
        <f t="shared" si="13"/>
        <v>1.5360681214515612</v>
      </c>
      <c r="C52">
        <f t="shared" si="14"/>
        <v>0</v>
      </c>
      <c r="D52" s="26">
        <v>0</v>
      </c>
      <c r="E52" s="26">
        <v>0</v>
      </c>
      <c r="G52">
        <v>0.1404</v>
      </c>
      <c r="H52">
        <f t="shared" si="7"/>
        <v>1.5360681214515612</v>
      </c>
      <c r="I52">
        <f t="shared" si="8"/>
        <v>0</v>
      </c>
      <c r="J52">
        <f t="shared" si="9"/>
        <v>1.4142135623730951</v>
      </c>
      <c r="K52">
        <f t="shared" si="15"/>
        <v>2.0879428329673511</v>
      </c>
      <c r="N52">
        <f t="shared" si="10"/>
        <v>1.5360681214515612</v>
      </c>
      <c r="O52">
        <f t="shared" si="11"/>
        <v>2.0879428329673511</v>
      </c>
      <c r="R52">
        <v>0.31463000000000002</v>
      </c>
      <c r="T52">
        <f t="shared" si="16"/>
        <v>135</v>
      </c>
      <c r="U52">
        <f>W36*COS(RADIANS(T52))</f>
        <v>-4.4721359549995796</v>
      </c>
      <c r="V52">
        <f>W37*COS(RADIANS(T52))</f>
        <v>-4.9117206760971248</v>
      </c>
      <c r="W52">
        <f>Y36*COS(RADIANS(T52))</f>
        <v>-2.9999999999999996</v>
      </c>
      <c r="X52">
        <f>AB36*SIN(RADIANS(T52))</f>
        <v>4.4721359549995796</v>
      </c>
      <c r="Y52">
        <f>AB37*SIN(RADIANS(T52))</f>
        <v>4.6818799642878508</v>
      </c>
    </row>
    <row r="53" spans="1:25" x14ac:dyDescent="0.25">
      <c r="A53">
        <f t="shared" si="12"/>
        <v>7.2732118000000003</v>
      </c>
      <c r="B53">
        <f t="shared" si="13"/>
        <v>1.0465065713192128</v>
      </c>
      <c r="C53">
        <f t="shared" si="14"/>
        <v>0.14138262437326976</v>
      </c>
      <c r="D53" s="26">
        <v>0</v>
      </c>
      <c r="E53" s="26">
        <v>0</v>
      </c>
      <c r="G53">
        <v>0.31463000000000002</v>
      </c>
      <c r="H53">
        <f t="shared" si="7"/>
        <v>1.0465065713192128</v>
      </c>
      <c r="I53">
        <f t="shared" si="8"/>
        <v>0.14138262437326976</v>
      </c>
      <c r="J53">
        <f t="shared" si="9"/>
        <v>1.1926332561013151</v>
      </c>
      <c r="K53">
        <f t="shared" si="15"/>
        <v>1.592965515586509</v>
      </c>
      <c r="N53">
        <f t="shared" si="10"/>
        <v>1.0560137547820898</v>
      </c>
      <c r="O53">
        <f t="shared" si="11"/>
        <v>1.5866789490546345</v>
      </c>
      <c r="R53">
        <v>0.15207000000000001</v>
      </c>
      <c r="T53">
        <f t="shared" si="16"/>
        <v>150</v>
      </c>
      <c r="U53">
        <f>W36*COS(RADIANS(T53))</f>
        <v>-5.4772255750516621</v>
      </c>
      <c r="V53">
        <f>W37*COS(RADIANS(T53))</f>
        <v>-6.0156047077579826</v>
      </c>
      <c r="W53">
        <f>Y36*COS(RADIANS(T53))</f>
        <v>-3.6742346141747673</v>
      </c>
      <c r="X53">
        <f>AB36*SIN(RADIANS(T53))</f>
        <v>3.1622776601683791</v>
      </c>
      <c r="Y53">
        <f>AB37*SIN(RADIANS(T53))</f>
        <v>3.3105890714493693</v>
      </c>
    </row>
    <row r="54" spans="1:25" x14ac:dyDescent="0.25">
      <c r="A54">
        <f t="shared" si="12"/>
        <v>7.4252818000000005</v>
      </c>
      <c r="B54">
        <f t="shared" si="13"/>
        <v>2.1860583377406448</v>
      </c>
      <c r="C54">
        <f t="shared" si="14"/>
        <v>0</v>
      </c>
      <c r="D54" s="26">
        <v>0.48899999999999999</v>
      </c>
      <c r="E54" s="26">
        <v>0</v>
      </c>
      <c r="G54">
        <v>0.15207000000000001</v>
      </c>
      <c r="H54">
        <f t="shared" si="7"/>
        <v>2.1860583377406448</v>
      </c>
      <c r="I54">
        <f t="shared" si="8"/>
        <v>0</v>
      </c>
      <c r="J54">
        <f t="shared" si="9"/>
        <v>1.4142135623730951</v>
      </c>
      <c r="K54">
        <f t="shared" si="15"/>
        <v>2.6036226792692894</v>
      </c>
      <c r="N54">
        <f t="shared" si="10"/>
        <v>2.1860583377406448</v>
      </c>
      <c r="O54">
        <f t="shared" si="11"/>
        <v>2.6036226792692894</v>
      </c>
      <c r="R54">
        <v>5.4078000000000001E-2</v>
      </c>
      <c r="T54">
        <f t="shared" si="16"/>
        <v>165</v>
      </c>
      <c r="U54">
        <f>W36*COS(RADIANS(T54))</f>
        <v>-6.1090513237072068</v>
      </c>
      <c r="V54">
        <f>W37*COS(RADIANS(T54))</f>
        <v>-6.7095352198419507</v>
      </c>
      <c r="W54">
        <f>Y36*COS(RADIANS(T54))</f>
        <v>-4.0980762113533151</v>
      </c>
      <c r="X54">
        <f>AB36*SIN(RADIANS(T54))</f>
        <v>1.636915368707629</v>
      </c>
      <c r="Y54">
        <f>AB37*SIN(RADIANS(T54))</f>
        <v>1.7136870043987351</v>
      </c>
    </row>
    <row r="55" spans="1:25" x14ac:dyDescent="0.25">
      <c r="A55">
        <f t="shared" si="12"/>
        <v>7.4793598000000001</v>
      </c>
      <c r="B55">
        <f t="shared" si="13"/>
        <v>6.1473037357191442</v>
      </c>
      <c r="C55">
        <f t="shared" si="14"/>
        <v>6.1327404289202171E-2</v>
      </c>
      <c r="D55" s="26">
        <v>47.278399999999998</v>
      </c>
      <c r="E55" s="26">
        <v>0</v>
      </c>
      <c r="G55">
        <v>5.4078000000000001E-2</v>
      </c>
      <c r="H55">
        <f t="shared" si="7"/>
        <v>6.1473037357191442</v>
      </c>
      <c r="I55">
        <f t="shared" si="8"/>
        <v>6.1327404289202171E-2</v>
      </c>
      <c r="J55">
        <f t="shared" si="9"/>
        <v>1.2865414970442917</v>
      </c>
      <c r="K55">
        <f t="shared" si="15"/>
        <v>6.2807876331969998</v>
      </c>
      <c r="N55">
        <f t="shared" si="10"/>
        <v>6.1476096386891221</v>
      </c>
      <c r="O55">
        <f t="shared" si="11"/>
        <v>6.2804882169146312</v>
      </c>
      <c r="R55">
        <v>0.80718999999999996</v>
      </c>
      <c r="T55">
        <f t="shared" si="16"/>
        <v>180</v>
      </c>
      <c r="U55">
        <f>W36*COS(RADIANS(T55))</f>
        <v>-6.324555320336759</v>
      </c>
      <c r="V55">
        <f>W37*COS(RADIANS(T55))</f>
        <v>-6.946221994724902</v>
      </c>
      <c r="W55">
        <f>Y36*COS(RADIANS(T55))</f>
        <v>-4.2426406871192848</v>
      </c>
      <c r="X55">
        <f>AB36*SIN(RADIANS(T55))</f>
        <v>7.7485191786946725E-16</v>
      </c>
      <c r="Y55">
        <f>AB37*SIN(RADIANS(T55))</f>
        <v>8.1119261714471164E-16</v>
      </c>
    </row>
    <row r="56" spans="1:25" x14ac:dyDescent="0.25">
      <c r="A56">
        <f t="shared" si="12"/>
        <v>8.2865497999999995</v>
      </c>
      <c r="B56">
        <f t="shared" si="13"/>
        <v>1.7859537892148131E-2</v>
      </c>
      <c r="C56">
        <f t="shared" si="14"/>
        <v>0</v>
      </c>
      <c r="D56" s="26">
        <v>-3.4245000000000001</v>
      </c>
      <c r="E56" s="26">
        <v>0</v>
      </c>
      <c r="G56">
        <v>0.80718999999999996</v>
      </c>
      <c r="H56">
        <f t="shared" si="7"/>
        <v>1.7859537892148131E-2</v>
      </c>
      <c r="I56">
        <f t="shared" si="8"/>
        <v>0</v>
      </c>
      <c r="J56">
        <f t="shared" si="9"/>
        <v>1.4142135623730951</v>
      </c>
      <c r="K56">
        <f t="shared" si="15"/>
        <v>1.4143263283605101</v>
      </c>
      <c r="N56">
        <f t="shared" si="10"/>
        <v>1.7859537892148131E-2</v>
      </c>
      <c r="O56">
        <f t="shared" si="11"/>
        <v>1.4143263283605101</v>
      </c>
      <c r="R56">
        <v>0.98936000000000002</v>
      </c>
      <c r="T56">
        <f t="shared" si="16"/>
        <v>195</v>
      </c>
      <c r="U56">
        <f>W36*COS(RADIANS(T56))</f>
        <v>-6.1090513237072068</v>
      </c>
      <c r="V56">
        <f>W37*COS(RADIANS(T56))</f>
        <v>-6.7095352198419516</v>
      </c>
      <c r="W56">
        <f>Y36*COS(RADIANS(T56))</f>
        <v>-4.098076211353316</v>
      </c>
      <c r="X56">
        <f>AB36*SIN(RADIANS(T56))</f>
        <v>-1.6369153687076274</v>
      </c>
      <c r="Y56">
        <f>AB37*SIN(RADIANS(T56))</f>
        <v>-1.7136870043987338</v>
      </c>
    </row>
    <row r="57" spans="1:25" x14ac:dyDescent="0.25">
      <c r="A57">
        <f t="shared" si="12"/>
        <v>9.2759097999999991</v>
      </c>
      <c r="B57">
        <f t="shared" si="13"/>
        <v>0.12822547449081712</v>
      </c>
      <c r="C57">
        <f t="shared" si="14"/>
        <v>6.6982690073499971E-3</v>
      </c>
      <c r="D57" s="26">
        <v>-33.346600000000002</v>
      </c>
      <c r="E57" s="26">
        <v>0</v>
      </c>
      <c r="G57">
        <v>0.98936000000000002</v>
      </c>
      <c r="H57">
        <f t="shared" si="7"/>
        <v>0.12822547449081712</v>
      </c>
      <c r="I57">
        <f t="shared" si="8"/>
        <v>6.6982690073499971E-3</v>
      </c>
      <c r="J57">
        <f t="shared" si="9"/>
        <v>1.3885734340247222</v>
      </c>
      <c r="K57">
        <f t="shared" si="15"/>
        <v>1.3944973362453223</v>
      </c>
      <c r="N57">
        <f t="shared" si="10"/>
        <v>0.12840030808409308</v>
      </c>
      <c r="O57">
        <f t="shared" si="11"/>
        <v>1.394481249062749</v>
      </c>
      <c r="T57">
        <f t="shared" si="16"/>
        <v>210</v>
      </c>
      <c r="U57">
        <f>W36*COS(RADIANS(T57))</f>
        <v>-5.4772255750516612</v>
      </c>
      <c r="V57">
        <f>W37*COS(RADIANS(T57))</f>
        <v>-6.0156047077579817</v>
      </c>
      <c r="W57">
        <f>Y36*COS(RADIANS(T57))</f>
        <v>-3.6742346141747668</v>
      </c>
      <c r="X57">
        <f>AB36*SIN(RADIANS(T57))</f>
        <v>-3.1622776601683804</v>
      </c>
      <c r="Y57">
        <f>AB37*SIN(RADIANS(T57))</f>
        <v>-3.3105890714493706</v>
      </c>
    </row>
    <row r="58" spans="1:25" x14ac:dyDescent="0.25">
      <c r="D58" s="26"/>
      <c r="E58" s="26"/>
      <c r="T58">
        <f t="shared" si="16"/>
        <v>225</v>
      </c>
      <c r="U58">
        <f>W36*COS(RADIANS(T58))</f>
        <v>-4.4721359549995805</v>
      </c>
      <c r="V58">
        <f>W37*COS(RADIANS(T58))</f>
        <v>-4.9117206760971257</v>
      </c>
      <c r="W58">
        <f>Y36*COS(RADIANS(T58))</f>
        <v>-3.0000000000000004</v>
      </c>
      <c r="X58">
        <f>AB36*SIN(RADIANS(T58))</f>
        <v>-4.4721359549995796</v>
      </c>
      <c r="Y58">
        <f>AB37*SIN(RADIANS(T58))</f>
        <v>-4.6818799642878499</v>
      </c>
    </row>
    <row r="59" spans="1:25" x14ac:dyDescent="0.25">
      <c r="D59" s="26"/>
      <c r="E59" s="26"/>
      <c r="T59">
        <f t="shared" si="16"/>
        <v>240</v>
      </c>
      <c r="U59">
        <f>W36*COS(RADIANS(T59))</f>
        <v>-3.1622776601683822</v>
      </c>
      <c r="V59">
        <f>W37*COS(RADIANS(T59))</f>
        <v>-3.4731109973624541</v>
      </c>
      <c r="W59">
        <f>Y36*COS(RADIANS(T59))</f>
        <v>-2.1213203435596442</v>
      </c>
      <c r="X59">
        <f>AB36*SIN(RADIANS(T59))</f>
        <v>-5.4772255750516594</v>
      </c>
      <c r="Y59">
        <f>AB37*SIN(RADIANS(T59))</f>
        <v>-5.7341084747325786</v>
      </c>
    </row>
    <row r="60" spans="1:25" x14ac:dyDescent="0.25">
      <c r="D60" s="26"/>
      <c r="E60" s="26"/>
      <c r="T60">
        <f t="shared" si="16"/>
        <v>255</v>
      </c>
      <c r="U60">
        <f>W48*COS(RADIANS(T60))</f>
        <v>-0.28420303647225881</v>
      </c>
      <c r="V60">
        <f>W37*COS(RADIANS(T60))</f>
        <v>-1.7978145437448252</v>
      </c>
      <c r="W60">
        <f>Y36*COS(RADIANS(T60))</f>
        <v>-1.0980762113533153</v>
      </c>
      <c r="X60">
        <f>AB36*SIN(RADIANS(T60))</f>
        <v>-6.1090513237072068</v>
      </c>
      <c r="Y60">
        <f>AB37*SIN(RADIANS(T60))</f>
        <v>-6.3955669686865839</v>
      </c>
    </row>
    <row r="61" spans="1:25" x14ac:dyDescent="0.25">
      <c r="D61" s="26"/>
      <c r="E61" s="26"/>
      <c r="T61">
        <f t="shared" si="16"/>
        <v>270</v>
      </c>
      <c r="U61">
        <f>W36*COS(RADIANS(T61))</f>
        <v>-1.1622778768042008E-15</v>
      </c>
      <c r="V61">
        <f>-37*COS(RADIANS(T61))</f>
        <v>6.7995739247428411E-15</v>
      </c>
      <c r="W61">
        <f>Y36*COS(RADIANS(T61))</f>
        <v>-7.7967970238349563E-16</v>
      </c>
      <c r="X61">
        <f>AB36*SIN(RADIANS(T61))</f>
        <v>-6.324555320336759</v>
      </c>
      <c r="Y61">
        <f>AB37*SIN(RADIANS(T61))</f>
        <v>-6.6211781428987395</v>
      </c>
    </row>
    <row r="62" spans="1:25" x14ac:dyDescent="0.25">
      <c r="D62" s="26"/>
      <c r="E62" s="26"/>
      <c r="T62">
        <f t="shared" si="16"/>
        <v>285</v>
      </c>
      <c r="U62">
        <f>W36*COS(RADIANS(T62))</f>
        <v>1.6369153687076243</v>
      </c>
      <c r="V62">
        <f>W37*COS(RADIANS(T62))</f>
        <v>1.797814543744823</v>
      </c>
      <c r="W62">
        <f>Y36*COS(RADIANS(T62))</f>
        <v>1.0980762113533138</v>
      </c>
      <c r="X62">
        <f>AB36*SIN(RADIANS(T62))</f>
        <v>-6.1090513237072077</v>
      </c>
      <c r="Y62">
        <f>AB37*SIN(RADIANS(T62))</f>
        <v>-6.3955669686865848</v>
      </c>
    </row>
    <row r="63" spans="1:25" x14ac:dyDescent="0.25">
      <c r="T63">
        <f t="shared" si="16"/>
        <v>300</v>
      </c>
      <c r="U63">
        <f>W36*COS(RADIANS(T63))</f>
        <v>3.1622776601683804</v>
      </c>
      <c r="V63">
        <f>W37*COS(RADIANS(T63))</f>
        <v>3.4731109973624519</v>
      </c>
      <c r="W63">
        <f>Y36*COS(RADIANS(T63))</f>
        <v>2.1213203435596428</v>
      </c>
      <c r="X63">
        <f>AB36*SIN(RADIANS(T63))</f>
        <v>-5.4772255750516612</v>
      </c>
      <c r="Y63">
        <f>AB37*SIN(RADIANS(T63))</f>
        <v>-5.7341084747325803</v>
      </c>
    </row>
    <row r="64" spans="1:25" x14ac:dyDescent="0.25">
      <c r="T64">
        <f t="shared" si="16"/>
        <v>315</v>
      </c>
      <c r="U64">
        <f>W36*COS(RADIANS(T64))</f>
        <v>4.4721359549995787</v>
      </c>
      <c r="V64">
        <f>W37*COS(RADIANS(T64))</f>
        <v>4.9117206760971239</v>
      </c>
      <c r="W64">
        <f>Y36*COS(RADIANS(T64))</f>
        <v>2.9999999999999991</v>
      </c>
      <c r="X64">
        <f>AB36*SIN(RADIANS(T64))</f>
        <v>-4.4721359549995805</v>
      </c>
      <c r="Y64">
        <f>AB37*SIN(RADIANS(T64))</f>
        <v>-4.6818799642878508</v>
      </c>
    </row>
    <row r="65" spans="20:25" x14ac:dyDescent="0.25">
      <c r="T65">
        <f t="shared" si="16"/>
        <v>330</v>
      </c>
      <c r="U65">
        <f>W36*COS(RADIANS(T65))</f>
        <v>5.4772255750516594</v>
      </c>
      <c r="V65">
        <f>W37*COS(RADIANS(T65))</f>
        <v>6.01560470775798</v>
      </c>
      <c r="W65">
        <f>Y36*COS(RADIANS(T65))</f>
        <v>3.6742346141747655</v>
      </c>
      <c r="X65">
        <f>AB36*SIN(RADIANS(T65))</f>
        <v>-3.1622776601683822</v>
      </c>
      <c r="Y65">
        <f>AB37*SIN(RADIANS(T65))</f>
        <v>-3.3105890714493729</v>
      </c>
    </row>
    <row r="66" spans="20:25" x14ac:dyDescent="0.25">
      <c r="T66">
        <f t="shared" si="16"/>
        <v>345</v>
      </c>
      <c r="U66">
        <f>W36*COS(RADIANS(T66))</f>
        <v>6.1090513237072068</v>
      </c>
      <c r="V66">
        <f>W37*COS(RADIANS(T66))</f>
        <v>6.7095352198419516</v>
      </c>
      <c r="W66">
        <f>Y36*COS(RADIANS(T66))</f>
        <v>4.098076211353316</v>
      </c>
      <c r="X66">
        <f>AB36*SIN(RADIANS(T66))</f>
        <v>-1.6369153687076268</v>
      </c>
      <c r="Y66">
        <f>AB37*SIN(RADIANS(T66))</f>
        <v>-1.7136870043987331</v>
      </c>
    </row>
    <row r="67" spans="20:25" x14ac:dyDescent="0.25">
      <c r="T67">
        <f t="shared" si="16"/>
        <v>360</v>
      </c>
      <c r="U67">
        <f>W36*COS(RADIANS(T67))</f>
        <v>6.324555320336759</v>
      </c>
      <c r="V67">
        <f>W37*COS(RADIANS(T67))</f>
        <v>6.946221994724902</v>
      </c>
      <c r="W67">
        <f>Y36*COS(RADIANS(T67))</f>
        <v>4.2426406871192848</v>
      </c>
      <c r="X67">
        <f>AB36*SIN(RADIANS(T67))</f>
        <v>-1.5497038357389345E-15</v>
      </c>
      <c r="Y67">
        <f>AB37*SIN(RADIANS(T67))</f>
        <v>-1.6223852342894233E-15</v>
      </c>
    </row>
  </sheetData>
  <mergeCells count="12">
    <mergeCell ref="U24:X24"/>
    <mergeCell ref="U13:V13"/>
    <mergeCell ref="X13:Y13"/>
    <mergeCell ref="Z24:AA24"/>
    <mergeCell ref="A1:B1"/>
    <mergeCell ref="O1:P1"/>
    <mergeCell ref="R1:S1"/>
    <mergeCell ref="AB1:AC1"/>
    <mergeCell ref="F1:G1"/>
    <mergeCell ref="I1:J1"/>
    <mergeCell ref="L1:M1"/>
    <mergeCell ref="U1:Z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FA3A-513B-4571-A09B-940847FB054C}">
  <dimension ref="A1:S29"/>
  <sheetViews>
    <sheetView zoomScale="79" workbookViewId="0">
      <selection activeCell="Q4" sqref="Q4"/>
    </sheetView>
  </sheetViews>
  <sheetFormatPr defaultRowHeight="15" x14ac:dyDescent="0.25"/>
  <cols>
    <col min="6" max="6" width="15.7109375" bestFit="1" customWidth="1"/>
    <col min="7" max="8" width="10.5703125" bestFit="1" customWidth="1"/>
    <col min="9" max="9" width="8.42578125" bestFit="1" customWidth="1"/>
    <col min="10" max="12" width="9" bestFit="1" customWidth="1"/>
    <col min="15" max="15" width="9.5703125" bestFit="1" customWidth="1"/>
    <col min="16" max="17" width="8.5703125" bestFit="1" customWidth="1"/>
    <col min="18" max="18" width="10.28515625" bestFit="1" customWidth="1"/>
    <col min="19" max="19" width="10.7109375" bestFit="1" customWidth="1"/>
  </cols>
  <sheetData>
    <row r="1" spans="1:19" ht="45" x14ac:dyDescent="0.25">
      <c r="A1" s="39" t="s">
        <v>37</v>
      </c>
      <c r="B1" s="39"/>
      <c r="C1" t="s">
        <v>49</v>
      </c>
      <c r="D1" t="s">
        <v>50</v>
      </c>
      <c r="E1" t="s">
        <v>51</v>
      </c>
      <c r="F1" t="s">
        <v>52</v>
      </c>
      <c r="G1" s="23" t="s">
        <v>53</v>
      </c>
      <c r="H1" s="23" t="s">
        <v>53</v>
      </c>
      <c r="I1" s="23" t="s">
        <v>54</v>
      </c>
      <c r="J1" s="23" t="s">
        <v>55</v>
      </c>
      <c r="K1" s="23" t="s">
        <v>56</v>
      </c>
      <c r="L1" s="23" t="s">
        <v>57</v>
      </c>
      <c r="M1" s="23" t="s">
        <v>58</v>
      </c>
      <c r="N1" s="23" t="s">
        <v>59</v>
      </c>
      <c r="O1" s="26"/>
      <c r="P1" s="26"/>
      <c r="Q1" s="26"/>
      <c r="R1" s="26"/>
      <c r="S1" s="26"/>
    </row>
    <row r="2" spans="1:19" x14ac:dyDescent="0.25">
      <c r="A2" s="40" t="s">
        <v>60</v>
      </c>
      <c r="B2" s="40"/>
      <c r="C2">
        <v>9.7000000000000003E-2</v>
      </c>
      <c r="D2">
        <v>1.03</v>
      </c>
      <c r="E2">
        <v>0</v>
      </c>
      <c r="F2">
        <v>0.22867999999999999</v>
      </c>
      <c r="G2" s="23">
        <v>0.22867999999999999</v>
      </c>
      <c r="H2" s="23">
        <v>0.22867999999999999</v>
      </c>
      <c r="I2" s="23">
        <v>0.42399999999999999</v>
      </c>
      <c r="J2" s="23">
        <v>0</v>
      </c>
      <c r="K2" s="23">
        <v>0</v>
      </c>
      <c r="L2" s="23">
        <v>0</v>
      </c>
      <c r="M2" s="23">
        <v>1</v>
      </c>
      <c r="N2" s="23">
        <v>0</v>
      </c>
      <c r="O2" s="26"/>
      <c r="P2" s="26"/>
      <c r="Q2" s="26"/>
      <c r="R2" s="26"/>
      <c r="S2" s="26"/>
    </row>
    <row r="3" spans="1:19" x14ac:dyDescent="0.25">
      <c r="A3" s="40" t="s">
        <v>61</v>
      </c>
      <c r="B3" s="40"/>
      <c r="C3">
        <v>0.14099999999999999</v>
      </c>
      <c r="D3">
        <v>1.04</v>
      </c>
      <c r="E3">
        <v>0</v>
      </c>
      <c r="F3">
        <v>1.5164</v>
      </c>
      <c r="G3" s="23">
        <v>1.5164</v>
      </c>
      <c r="H3" s="23">
        <v>1.5164</v>
      </c>
      <c r="I3" s="23">
        <v>2.9000000000000001E-2</v>
      </c>
      <c r="J3" s="23">
        <v>0</v>
      </c>
      <c r="K3" s="23">
        <v>0</v>
      </c>
      <c r="L3" s="23">
        <v>0</v>
      </c>
      <c r="M3" s="23">
        <v>1.01</v>
      </c>
      <c r="N3" s="23">
        <v>0</v>
      </c>
      <c r="O3" s="26"/>
      <c r="P3" s="26"/>
      <c r="Q3" s="26"/>
      <c r="R3" s="26"/>
      <c r="S3" s="26">
        <f>F2</f>
        <v>0.22867999999999999</v>
      </c>
    </row>
    <row r="4" spans="1:19" x14ac:dyDescent="0.25">
      <c r="A4" s="40" t="s">
        <v>62</v>
      </c>
      <c r="B4" s="40"/>
      <c r="C4">
        <v>0.59699999999999998</v>
      </c>
      <c r="D4">
        <v>1.03</v>
      </c>
      <c r="E4">
        <v>0</v>
      </c>
      <c r="F4">
        <v>0.50777000000000005</v>
      </c>
      <c r="G4" s="23">
        <v>0.50777000000000005</v>
      </c>
      <c r="H4" s="23">
        <v>0.50777000000000005</v>
      </c>
      <c r="I4" s="23">
        <v>0.89800000000000002</v>
      </c>
      <c r="J4" s="23">
        <v>0</v>
      </c>
      <c r="K4" s="23">
        <v>0</v>
      </c>
      <c r="L4" s="23">
        <v>0</v>
      </c>
      <c r="M4" s="23">
        <v>1</v>
      </c>
      <c r="N4" s="23">
        <v>0</v>
      </c>
      <c r="O4" s="26"/>
      <c r="P4" s="26"/>
      <c r="Q4" s="26"/>
      <c r="R4" s="26"/>
      <c r="S4" s="26">
        <f>G3+S3</f>
        <v>1.74508</v>
      </c>
    </row>
    <row r="5" spans="1:19" x14ac:dyDescent="0.25">
      <c r="A5" s="41" t="s">
        <v>63</v>
      </c>
      <c r="B5" s="41"/>
      <c r="C5">
        <v>0.60299999999999998</v>
      </c>
      <c r="D5">
        <v>1.38</v>
      </c>
      <c r="E5">
        <v>0</v>
      </c>
      <c r="F5">
        <v>0.18163000000000001</v>
      </c>
      <c r="G5" s="23">
        <v>0.18163000000000001</v>
      </c>
      <c r="H5" s="23">
        <v>0.18163000000000001</v>
      </c>
      <c r="I5" s="23">
        <v>3.3000000000000002E-2</v>
      </c>
      <c r="J5" s="23">
        <v>0</v>
      </c>
      <c r="K5" s="23">
        <v>0</v>
      </c>
      <c r="L5" s="23">
        <v>0</v>
      </c>
      <c r="M5" s="23">
        <v>1.34</v>
      </c>
      <c r="N5" s="23">
        <v>0</v>
      </c>
      <c r="O5" s="26"/>
      <c r="P5" s="26"/>
      <c r="Q5" s="26"/>
      <c r="R5" s="26"/>
      <c r="S5" s="26">
        <f t="shared" ref="S5:S28" si="0">G4+S4</f>
        <v>2.25285</v>
      </c>
    </row>
    <row r="6" spans="1:19" x14ac:dyDescent="0.25">
      <c r="A6" s="40" t="s">
        <v>64</v>
      </c>
      <c r="B6" s="40"/>
      <c r="C6">
        <v>0.1</v>
      </c>
      <c r="D6">
        <v>1.02</v>
      </c>
      <c r="E6">
        <v>0</v>
      </c>
      <c r="F6">
        <v>1.1992</v>
      </c>
      <c r="G6" s="23">
        <v>1.1992</v>
      </c>
      <c r="H6" s="23">
        <v>1.1992</v>
      </c>
      <c r="I6" s="23">
        <v>0.41899999999999998</v>
      </c>
      <c r="J6" s="23">
        <v>-0.41899999999999998</v>
      </c>
      <c r="K6" s="23">
        <v>0</v>
      </c>
      <c r="L6" s="23">
        <v>0</v>
      </c>
      <c r="M6" s="23">
        <v>0.99</v>
      </c>
      <c r="N6" s="23">
        <v>-0.99</v>
      </c>
      <c r="O6" s="26"/>
      <c r="P6" s="26"/>
      <c r="Q6" s="26"/>
      <c r="R6" s="26"/>
      <c r="S6" s="26">
        <f t="shared" si="0"/>
        <v>2.4344800000000002</v>
      </c>
    </row>
    <row r="7" spans="1:19" x14ac:dyDescent="0.25">
      <c r="A7" s="40" t="s">
        <v>65</v>
      </c>
      <c r="B7" s="40"/>
      <c r="C7">
        <v>0.1</v>
      </c>
      <c r="D7">
        <v>1.03</v>
      </c>
      <c r="E7">
        <v>0</v>
      </c>
      <c r="F7">
        <v>2.4569000000000001</v>
      </c>
      <c r="G7" s="23">
        <v>2.4569000000000001</v>
      </c>
      <c r="H7" s="23">
        <v>2.4569000000000001</v>
      </c>
      <c r="I7" s="23">
        <v>0</v>
      </c>
      <c r="J7" s="23">
        <v>0</v>
      </c>
      <c r="K7" s="23">
        <v>0</v>
      </c>
      <c r="L7" s="23">
        <v>0</v>
      </c>
      <c r="M7" s="23">
        <v>1</v>
      </c>
      <c r="N7" s="23">
        <v>-0.98</v>
      </c>
      <c r="O7" s="26"/>
      <c r="P7" s="26"/>
      <c r="Q7" s="26"/>
      <c r="R7" s="26"/>
      <c r="S7" s="26">
        <f t="shared" si="0"/>
        <v>3.63368</v>
      </c>
    </row>
    <row r="8" spans="1:19" x14ac:dyDescent="0.25">
      <c r="A8" s="40" t="s">
        <v>66</v>
      </c>
      <c r="B8" s="40"/>
      <c r="C8">
        <v>0.1</v>
      </c>
      <c r="D8">
        <v>1.01</v>
      </c>
      <c r="E8">
        <v>0</v>
      </c>
      <c r="F8">
        <v>0.03</v>
      </c>
      <c r="G8" s="23">
        <v>0.03</v>
      </c>
      <c r="H8" s="23">
        <v>0.03</v>
      </c>
      <c r="I8" s="23">
        <v>0</v>
      </c>
      <c r="J8" s="23">
        <v>0</v>
      </c>
      <c r="K8" s="23">
        <v>0</v>
      </c>
      <c r="L8" s="23">
        <v>0</v>
      </c>
      <c r="M8" s="23">
        <v>0.98</v>
      </c>
      <c r="N8" s="23">
        <v>-0.98</v>
      </c>
      <c r="O8" s="26"/>
      <c r="P8" s="26"/>
      <c r="Q8" s="26"/>
      <c r="R8" s="26"/>
      <c r="S8" s="26">
        <f t="shared" si="0"/>
        <v>6.0905800000000001</v>
      </c>
    </row>
    <row r="9" spans="1:19" x14ac:dyDescent="0.25">
      <c r="A9" s="40" t="s">
        <v>67</v>
      </c>
      <c r="B9" s="40"/>
      <c r="C9">
        <v>0.1</v>
      </c>
      <c r="D9">
        <v>1.01</v>
      </c>
      <c r="E9">
        <v>0</v>
      </c>
      <c r="F9">
        <v>0.09</v>
      </c>
      <c r="G9" s="23">
        <v>0.09</v>
      </c>
      <c r="H9" s="23">
        <v>0.09</v>
      </c>
      <c r="I9" s="23">
        <v>0</v>
      </c>
      <c r="J9" s="23">
        <v>0</v>
      </c>
      <c r="K9" s="23">
        <v>0</v>
      </c>
      <c r="L9" s="23">
        <v>0</v>
      </c>
      <c r="M9" s="23">
        <v>0.98</v>
      </c>
      <c r="N9" s="23">
        <v>-0.98</v>
      </c>
      <c r="O9" s="26"/>
      <c r="P9" s="26"/>
      <c r="Q9" s="26"/>
      <c r="R9" s="26"/>
      <c r="S9" s="26">
        <f t="shared" si="0"/>
        <v>6.1205800000000004</v>
      </c>
    </row>
    <row r="10" spans="1:19" x14ac:dyDescent="0.25">
      <c r="A10" s="40" t="s">
        <v>68</v>
      </c>
      <c r="B10" s="40"/>
      <c r="C10">
        <v>0.78900000000000003</v>
      </c>
      <c r="D10">
        <v>2.2000000000000002</v>
      </c>
      <c r="E10">
        <v>0</v>
      </c>
      <c r="F10">
        <v>6.0297999999999997E-2</v>
      </c>
      <c r="G10" s="23">
        <v>6.0297999999999997E-2</v>
      </c>
      <c r="H10" s="23">
        <v>6.0297999999999997E-2</v>
      </c>
      <c r="I10" s="23">
        <v>11.43</v>
      </c>
      <c r="J10" s="23">
        <v>0</v>
      </c>
      <c r="K10" s="23">
        <v>0</v>
      </c>
      <c r="L10" s="23">
        <v>0</v>
      </c>
      <c r="M10" s="23">
        <v>2.14</v>
      </c>
      <c r="N10" s="23">
        <v>0</v>
      </c>
      <c r="O10" s="26"/>
      <c r="P10" s="26"/>
      <c r="Q10" s="26"/>
      <c r="R10" s="26"/>
      <c r="S10" s="26">
        <f t="shared" si="0"/>
        <v>6.2105800000000002</v>
      </c>
    </row>
    <row r="11" spans="1:19" x14ac:dyDescent="0.25">
      <c r="A11" s="40" t="s">
        <v>69</v>
      </c>
      <c r="B11" s="40"/>
      <c r="C11">
        <v>0.97799999999999998</v>
      </c>
      <c r="D11">
        <v>3.72</v>
      </c>
      <c r="E11">
        <v>0</v>
      </c>
      <c r="F11">
        <v>1.7876E-2</v>
      </c>
      <c r="G11" s="23">
        <v>1.7876E-2</v>
      </c>
      <c r="H11" s="23">
        <v>1.7876E-2</v>
      </c>
      <c r="I11" s="23">
        <v>10.57</v>
      </c>
      <c r="J11" s="23">
        <v>0</v>
      </c>
      <c r="K11" s="23">
        <v>0</v>
      </c>
      <c r="L11" s="23">
        <v>0</v>
      </c>
      <c r="M11" s="23">
        <v>3.61</v>
      </c>
      <c r="N11" s="23">
        <v>0</v>
      </c>
      <c r="O11" s="26"/>
      <c r="P11" s="26"/>
      <c r="Q11" s="26"/>
      <c r="R11" s="26"/>
      <c r="S11" s="26">
        <f t="shared" si="0"/>
        <v>6.2708780000000006</v>
      </c>
    </row>
    <row r="12" spans="1:19" x14ac:dyDescent="0.25">
      <c r="A12" s="40" t="s">
        <v>70</v>
      </c>
      <c r="B12" s="40"/>
      <c r="C12">
        <v>0.97599999999999998</v>
      </c>
      <c r="D12">
        <v>1.03</v>
      </c>
      <c r="E12">
        <v>0.91</v>
      </c>
      <c r="F12">
        <v>0.17591000000000001</v>
      </c>
      <c r="G12" s="23">
        <v>0.17591000000000001</v>
      </c>
      <c r="H12" s="23">
        <v>0.17591000000000001</v>
      </c>
      <c r="I12" s="23">
        <v>1.0999999999999999E-2</v>
      </c>
      <c r="J12" s="23">
        <v>-1.0999999999999999E-2</v>
      </c>
      <c r="K12" s="23">
        <v>0.9</v>
      </c>
      <c r="L12" s="23">
        <v>0</v>
      </c>
      <c r="M12" s="23">
        <v>1</v>
      </c>
      <c r="N12" s="23">
        <v>0</v>
      </c>
      <c r="O12" s="26"/>
      <c r="P12" s="26"/>
      <c r="Q12" s="26"/>
      <c r="R12" s="26"/>
      <c r="S12" s="26">
        <f t="shared" si="0"/>
        <v>6.2887540000000008</v>
      </c>
    </row>
    <row r="13" spans="1:19" x14ac:dyDescent="0.25">
      <c r="A13" s="41" t="s">
        <v>71</v>
      </c>
      <c r="B13" s="41"/>
      <c r="C13">
        <v>1.3169999999999999</v>
      </c>
      <c r="D13">
        <v>13.18</v>
      </c>
      <c r="E13">
        <v>0</v>
      </c>
      <c r="F13">
        <v>3.3739999999999999E-2</v>
      </c>
      <c r="G13" s="23">
        <v>3.3739999999999999E-2</v>
      </c>
      <c r="H13" s="23">
        <v>3.3739999999999999E-2</v>
      </c>
      <c r="I13" s="23">
        <v>10.11</v>
      </c>
      <c r="J13" s="23">
        <v>0</v>
      </c>
      <c r="K13" s="23">
        <v>0</v>
      </c>
      <c r="L13" s="23">
        <v>0</v>
      </c>
      <c r="M13" s="23">
        <v>12.8</v>
      </c>
      <c r="N13" s="23">
        <v>0</v>
      </c>
      <c r="O13" s="26"/>
      <c r="P13" s="26"/>
      <c r="Q13" s="26"/>
      <c r="R13" s="26"/>
      <c r="S13" s="26">
        <f t="shared" si="0"/>
        <v>6.4646640000000009</v>
      </c>
    </row>
    <row r="14" spans="1:19" x14ac:dyDescent="0.25">
      <c r="A14" s="40" t="s">
        <v>72</v>
      </c>
      <c r="B14" s="40"/>
      <c r="C14">
        <v>1.44</v>
      </c>
      <c r="D14">
        <v>1.03</v>
      </c>
      <c r="E14">
        <v>0</v>
      </c>
      <c r="F14">
        <v>0.19489000000000001</v>
      </c>
      <c r="G14" s="23">
        <v>0.19489000000000001</v>
      </c>
      <c r="H14" s="23">
        <v>0.19489000000000001</v>
      </c>
      <c r="I14" s="23">
        <v>6.3E-2</v>
      </c>
      <c r="J14" s="23">
        <v>0</v>
      </c>
      <c r="K14" s="23">
        <v>0</v>
      </c>
      <c r="L14" s="23">
        <v>0</v>
      </c>
      <c r="M14" s="23">
        <v>1</v>
      </c>
      <c r="N14" s="23">
        <v>0</v>
      </c>
      <c r="O14" s="26"/>
      <c r="P14" s="26"/>
      <c r="Q14" s="26"/>
      <c r="R14" s="26"/>
      <c r="S14" s="26">
        <f t="shared" si="0"/>
        <v>6.4984040000000007</v>
      </c>
    </row>
    <row r="15" spans="1:19" x14ac:dyDescent="0.25">
      <c r="A15" s="41" t="s">
        <v>73</v>
      </c>
      <c r="B15" s="41"/>
      <c r="C15">
        <v>1.44</v>
      </c>
      <c r="D15">
        <v>-13.48</v>
      </c>
      <c r="E15">
        <v>0</v>
      </c>
      <c r="F15">
        <v>9.7248000000000005E-3</v>
      </c>
      <c r="G15" s="23">
        <v>9.7249999999999993E-3</v>
      </c>
      <c r="H15" s="23">
        <v>9.7249999999999993E-3</v>
      </c>
      <c r="I15" s="23">
        <v>0</v>
      </c>
      <c r="J15" s="23">
        <v>0</v>
      </c>
      <c r="K15" s="23">
        <v>0</v>
      </c>
      <c r="L15" s="23">
        <v>0</v>
      </c>
      <c r="M15" s="23">
        <v>-13.08</v>
      </c>
      <c r="N15" s="23">
        <v>-13.08</v>
      </c>
      <c r="O15" s="26"/>
      <c r="P15" s="26"/>
      <c r="Q15" s="26"/>
      <c r="R15" s="26"/>
      <c r="S15" s="26">
        <f t="shared" si="0"/>
        <v>6.6932940000000007</v>
      </c>
    </row>
    <row r="16" spans="1:19" x14ac:dyDescent="0.25">
      <c r="A16" s="40" t="s">
        <v>74</v>
      </c>
      <c r="B16" s="40"/>
      <c r="C16">
        <v>1.4390000000000001</v>
      </c>
      <c r="D16">
        <v>1.03</v>
      </c>
      <c r="E16">
        <v>3.34</v>
      </c>
      <c r="F16">
        <v>7.0249000000000006E-2</v>
      </c>
      <c r="G16" s="23">
        <v>7.0249000000000006E-2</v>
      </c>
      <c r="H16" s="23">
        <v>7.0249000000000006E-2</v>
      </c>
      <c r="I16" s="23">
        <v>1.4E-2</v>
      </c>
      <c r="J16" s="23">
        <v>-1.4E-2</v>
      </c>
      <c r="K16" s="23">
        <v>0</v>
      </c>
      <c r="L16" s="23">
        <v>0</v>
      </c>
      <c r="M16" s="23">
        <v>1</v>
      </c>
      <c r="N16" s="23">
        <v>0</v>
      </c>
      <c r="O16" s="26"/>
      <c r="P16" s="26"/>
      <c r="Q16" s="26"/>
      <c r="R16" s="26"/>
      <c r="S16" s="26">
        <f t="shared" si="0"/>
        <v>6.7030190000000012</v>
      </c>
    </row>
    <row r="17" spans="1:19" x14ac:dyDescent="0.25">
      <c r="A17" s="41" t="s">
        <v>75</v>
      </c>
      <c r="B17" s="41"/>
      <c r="C17">
        <v>1.4379999999999999</v>
      </c>
      <c r="D17">
        <v>2.35</v>
      </c>
      <c r="E17">
        <v>0</v>
      </c>
      <c r="F17">
        <v>0.11332</v>
      </c>
      <c r="G17" s="23">
        <v>0.11332</v>
      </c>
      <c r="H17" s="23">
        <v>0.11332</v>
      </c>
      <c r="I17" s="23">
        <v>0</v>
      </c>
      <c r="J17" s="23">
        <v>0</v>
      </c>
      <c r="K17" s="23">
        <v>0</v>
      </c>
      <c r="L17" s="23">
        <v>0</v>
      </c>
      <c r="M17" s="23">
        <v>2.2799999999999998</v>
      </c>
      <c r="N17" s="23">
        <v>0</v>
      </c>
      <c r="O17" s="26"/>
      <c r="P17" s="26"/>
      <c r="Q17" s="26"/>
      <c r="R17" s="26"/>
      <c r="S17" s="26">
        <f t="shared" si="0"/>
        <v>6.7732680000000016</v>
      </c>
    </row>
    <row r="18" spans="1:19" x14ac:dyDescent="0.25">
      <c r="A18" s="40" t="s">
        <v>76</v>
      </c>
      <c r="B18" s="40"/>
      <c r="C18">
        <v>1.484</v>
      </c>
      <c r="D18">
        <v>1.03</v>
      </c>
      <c r="E18">
        <v>0</v>
      </c>
      <c r="F18">
        <v>0.14147999999999999</v>
      </c>
      <c r="G18" s="23">
        <v>0.14147999999999999</v>
      </c>
      <c r="H18" s="23">
        <v>0.14147999999999999</v>
      </c>
      <c r="I18" s="23">
        <v>0</v>
      </c>
      <c r="J18" s="23">
        <v>0</v>
      </c>
      <c r="K18" s="23">
        <v>0</v>
      </c>
      <c r="L18" s="23">
        <v>0</v>
      </c>
      <c r="M18" s="23">
        <v>1</v>
      </c>
      <c r="N18" s="23">
        <v>0</v>
      </c>
      <c r="O18" s="26"/>
      <c r="P18" s="26"/>
      <c r="Q18" s="26"/>
      <c r="R18" s="26"/>
      <c r="S18" s="26">
        <f t="shared" si="0"/>
        <v>6.8865880000000015</v>
      </c>
    </row>
    <row r="19" spans="1:19" x14ac:dyDescent="0.25">
      <c r="A19" s="41" t="s">
        <v>77</v>
      </c>
      <c r="B19" s="41"/>
      <c r="C19">
        <v>1.4850000000000001</v>
      </c>
      <c r="D19">
        <v>1.03</v>
      </c>
      <c r="E19">
        <v>0</v>
      </c>
      <c r="F19">
        <v>0.13719999999999999</v>
      </c>
      <c r="G19" s="23">
        <v>1.6715000000000001E-2</v>
      </c>
      <c r="H19" s="23">
        <v>1.6715000000000001E-2</v>
      </c>
      <c r="I19" s="23">
        <v>0</v>
      </c>
      <c r="J19" s="23">
        <v>0</v>
      </c>
      <c r="K19" s="23">
        <v>0</v>
      </c>
      <c r="L19" s="23">
        <v>0</v>
      </c>
      <c r="M19" s="23">
        <v>1</v>
      </c>
      <c r="N19" s="23">
        <v>0</v>
      </c>
      <c r="O19" s="26"/>
      <c r="P19" s="26"/>
      <c r="Q19" s="26"/>
      <c r="R19" s="26"/>
      <c r="S19" s="26">
        <f t="shared" si="0"/>
        <v>7.0280680000000011</v>
      </c>
    </row>
    <row r="20" spans="1:19" x14ac:dyDescent="0.25">
      <c r="A20" s="40" t="s">
        <v>78</v>
      </c>
      <c r="B20" s="40"/>
      <c r="C20">
        <v>2.7970000000000002</v>
      </c>
      <c r="D20">
        <v>1.03</v>
      </c>
      <c r="E20">
        <v>6.62</v>
      </c>
      <c r="F20">
        <v>1.6223999999999999E-2</v>
      </c>
      <c r="G20" s="23">
        <v>0.66664999999999996</v>
      </c>
      <c r="H20" s="23">
        <v>0.66664999999999996</v>
      </c>
      <c r="I20" s="23">
        <v>0.32600000000000001</v>
      </c>
      <c r="J20" s="23">
        <v>0</v>
      </c>
      <c r="K20" s="23">
        <v>0</v>
      </c>
      <c r="L20" s="23">
        <v>0</v>
      </c>
      <c r="M20" s="23">
        <v>1</v>
      </c>
      <c r="N20" s="23">
        <v>0</v>
      </c>
      <c r="O20" s="26"/>
      <c r="P20" s="26"/>
      <c r="Q20" s="26"/>
      <c r="R20" s="26"/>
      <c r="S20" s="26">
        <f t="shared" si="0"/>
        <v>7.0447830000000007</v>
      </c>
    </row>
    <row r="21" spans="1:19" x14ac:dyDescent="0.25">
      <c r="A21" s="41" t="s">
        <v>79</v>
      </c>
      <c r="B21" s="41"/>
      <c r="C21">
        <v>2.8010000000000002</v>
      </c>
      <c r="D21">
        <v>44.4</v>
      </c>
      <c r="E21">
        <v>0</v>
      </c>
      <c r="F21">
        <v>0.65608999999999995</v>
      </c>
      <c r="G21" s="23">
        <v>6.43E-3</v>
      </c>
      <c r="H21" s="23">
        <v>6.43E-3</v>
      </c>
      <c r="I21" s="23">
        <v>0.63</v>
      </c>
      <c r="J21" s="23">
        <v>0</v>
      </c>
      <c r="K21" s="23">
        <v>0</v>
      </c>
      <c r="L21" s="23">
        <v>0</v>
      </c>
      <c r="M21" s="23">
        <v>43.83</v>
      </c>
      <c r="N21" s="23">
        <v>0</v>
      </c>
      <c r="O21" s="26"/>
      <c r="P21" s="26"/>
      <c r="Q21" s="26"/>
      <c r="R21" s="26"/>
      <c r="S21" s="26">
        <f t="shared" si="0"/>
        <v>7.7114330000000004</v>
      </c>
    </row>
    <row r="22" spans="1:19" x14ac:dyDescent="0.25">
      <c r="A22" s="40" t="s">
        <v>80</v>
      </c>
      <c r="B22" s="40"/>
      <c r="C22">
        <v>2.8</v>
      </c>
      <c r="D22">
        <v>1.03</v>
      </c>
      <c r="E22">
        <v>5.21</v>
      </c>
      <c r="F22">
        <v>6.3752000000000001E-3</v>
      </c>
      <c r="G22" s="23">
        <v>8.8187000000000001E-2</v>
      </c>
      <c r="H22" s="23">
        <v>8.8187000000000001E-2</v>
      </c>
      <c r="I22" s="23">
        <v>0.32800000000000001</v>
      </c>
      <c r="J22" s="23">
        <v>0</v>
      </c>
      <c r="K22" s="23">
        <v>0</v>
      </c>
      <c r="L22" s="23">
        <v>0</v>
      </c>
      <c r="M22" s="23">
        <v>1</v>
      </c>
      <c r="N22" s="23">
        <v>0</v>
      </c>
      <c r="O22" s="26"/>
      <c r="P22" s="26"/>
      <c r="Q22" s="26"/>
      <c r="R22" s="26"/>
      <c r="S22" s="26">
        <f t="shared" si="0"/>
        <v>7.7178630000000004</v>
      </c>
    </row>
    <row r="23" spans="1:19" x14ac:dyDescent="0.25">
      <c r="A23" s="40" t="s">
        <v>81</v>
      </c>
      <c r="B23" s="40"/>
      <c r="C23">
        <v>2.8</v>
      </c>
      <c r="D23">
        <v>1.03</v>
      </c>
      <c r="E23">
        <v>0</v>
      </c>
      <c r="F23">
        <v>8.7436E-2</v>
      </c>
      <c r="G23" s="23">
        <v>7.2069999999999999E-3</v>
      </c>
      <c r="H23" s="23">
        <v>7.2069999999999999E-3</v>
      </c>
      <c r="I23" s="23">
        <v>6.2E-2</v>
      </c>
      <c r="J23" s="23">
        <v>-6.2E-2</v>
      </c>
      <c r="K23" s="23">
        <v>0</v>
      </c>
      <c r="L23" s="23">
        <v>0</v>
      </c>
      <c r="M23" s="23">
        <v>1</v>
      </c>
      <c r="N23" s="23">
        <v>0</v>
      </c>
      <c r="O23" s="26"/>
      <c r="P23" s="26"/>
      <c r="Q23" s="26"/>
      <c r="R23" s="26"/>
      <c r="S23" s="26">
        <f t="shared" si="0"/>
        <v>7.8060499999999999</v>
      </c>
    </row>
    <row r="24" spans="1:19" x14ac:dyDescent="0.25">
      <c r="A24" s="40" t="s">
        <v>82</v>
      </c>
      <c r="B24" s="40"/>
      <c r="C24">
        <v>2.8</v>
      </c>
      <c r="D24">
        <v>7.04</v>
      </c>
      <c r="E24">
        <v>5.58</v>
      </c>
      <c r="F24">
        <v>7.1453000000000003E-3</v>
      </c>
      <c r="G24" s="23">
        <v>5.1361999999999998E-2</v>
      </c>
      <c r="H24" s="23">
        <v>5.1361999999999998E-2</v>
      </c>
      <c r="I24" s="23">
        <v>1.97</v>
      </c>
      <c r="J24" s="23">
        <v>0</v>
      </c>
      <c r="K24" s="23">
        <v>6.73</v>
      </c>
      <c r="L24" s="23">
        <v>0</v>
      </c>
      <c r="M24" s="23">
        <v>6.83</v>
      </c>
      <c r="N24" s="23">
        <v>0</v>
      </c>
      <c r="O24" s="26"/>
      <c r="P24" s="26"/>
      <c r="Q24" s="26"/>
      <c r="R24" s="26"/>
      <c r="S24" s="26">
        <f t="shared" si="0"/>
        <v>7.8132570000000001</v>
      </c>
    </row>
    <row r="25" spans="1:19" x14ac:dyDescent="0.25">
      <c r="A25" s="40" t="s">
        <v>83</v>
      </c>
      <c r="B25" s="40"/>
      <c r="C25">
        <v>2.7989999999999999</v>
      </c>
      <c r="D25">
        <v>-6.04</v>
      </c>
      <c r="E25">
        <v>7.5</v>
      </c>
      <c r="F25">
        <v>5.0923999999999997E-2</v>
      </c>
      <c r="G25" s="23">
        <v>4.7868000000000001E-2</v>
      </c>
      <c r="H25" s="23">
        <v>4.7868000000000001E-2</v>
      </c>
      <c r="I25" s="23">
        <v>1.0999999999999999E-2</v>
      </c>
      <c r="J25" s="23">
        <v>-1.0999999999999999E-2</v>
      </c>
      <c r="K25" s="23">
        <v>5.29</v>
      </c>
      <c r="L25" s="23">
        <v>0</v>
      </c>
      <c r="M25" s="23">
        <v>-5.87</v>
      </c>
      <c r="N25" s="23">
        <v>0</v>
      </c>
      <c r="O25" s="26"/>
      <c r="P25" s="26"/>
      <c r="Q25" s="26"/>
      <c r="R25" s="26"/>
      <c r="S25" s="26">
        <f t="shared" si="0"/>
        <v>7.8646190000000002</v>
      </c>
    </row>
    <row r="26" spans="1:19" x14ac:dyDescent="0.25">
      <c r="A26" s="40" t="s">
        <v>84</v>
      </c>
      <c r="B26" s="40"/>
      <c r="C26">
        <v>2.7989999999999999</v>
      </c>
      <c r="D26">
        <v>1.03</v>
      </c>
      <c r="E26">
        <v>10.28</v>
      </c>
      <c r="F26">
        <v>4.7460000000000002E-2</v>
      </c>
      <c r="G26" s="23">
        <v>4.4555999999999998E-2</v>
      </c>
      <c r="H26" s="23">
        <v>4.4555999999999998E-2</v>
      </c>
      <c r="I26" s="23">
        <v>0</v>
      </c>
      <c r="J26" s="23">
        <v>0</v>
      </c>
      <c r="K26" s="23">
        <v>0</v>
      </c>
      <c r="L26" s="23">
        <v>0</v>
      </c>
      <c r="M26" s="23">
        <v>1</v>
      </c>
      <c r="N26" s="23">
        <v>0</v>
      </c>
      <c r="O26" s="26"/>
      <c r="P26" s="26"/>
      <c r="Q26" s="26"/>
      <c r="R26" s="26"/>
      <c r="S26" s="26">
        <f t="shared" si="0"/>
        <v>7.9124870000000005</v>
      </c>
    </row>
    <row r="27" spans="1:19" x14ac:dyDescent="0.25">
      <c r="A27" s="40" t="s">
        <v>85</v>
      </c>
      <c r="B27" s="40"/>
      <c r="C27">
        <v>0.1</v>
      </c>
      <c r="D27">
        <v>1.03</v>
      </c>
      <c r="E27">
        <v>0</v>
      </c>
      <c r="F27">
        <v>4.4174999999999999E-2</v>
      </c>
      <c r="G27" s="23">
        <v>0.70050000000000001</v>
      </c>
      <c r="H27" s="23">
        <v>0.70050000000000001</v>
      </c>
      <c r="I27" s="23">
        <v>0</v>
      </c>
      <c r="J27" s="23">
        <v>0</v>
      </c>
      <c r="K27" s="23">
        <v>0</v>
      </c>
      <c r="L27" s="23">
        <v>0</v>
      </c>
      <c r="M27" s="23">
        <v>1</v>
      </c>
      <c r="N27" s="23">
        <v>0</v>
      </c>
      <c r="O27" s="26"/>
      <c r="P27" s="26"/>
      <c r="Q27" s="26"/>
      <c r="R27" s="26"/>
      <c r="S27" s="26">
        <f t="shared" si="0"/>
        <v>7.9570430000000005</v>
      </c>
    </row>
    <row r="28" spans="1:19" x14ac:dyDescent="0.25">
      <c r="A28" s="40" t="s">
        <v>86</v>
      </c>
      <c r="B28" s="40"/>
      <c r="C28">
        <v>8.7999999999999995E-2</v>
      </c>
      <c r="D28">
        <v>1.03</v>
      </c>
      <c r="E28">
        <v>0.01</v>
      </c>
      <c r="F28">
        <v>0.69610000000000005</v>
      </c>
      <c r="G28" s="23">
        <v>0.98936000000000002</v>
      </c>
      <c r="H28" s="23">
        <v>0.98936000000000002</v>
      </c>
      <c r="I28" s="23">
        <v>2.1000000000000001E-2</v>
      </c>
      <c r="J28" s="23">
        <v>-2.1000000000000001E-2</v>
      </c>
      <c r="K28" s="23">
        <v>3.61</v>
      </c>
      <c r="L28" s="23">
        <v>3.61</v>
      </c>
      <c r="M28" s="23">
        <v>1</v>
      </c>
      <c r="N28" s="23">
        <v>-5.98</v>
      </c>
      <c r="O28" s="26"/>
      <c r="P28" s="26"/>
      <c r="Q28" s="26"/>
      <c r="R28" s="26"/>
      <c r="S28" s="26">
        <f t="shared" si="0"/>
        <v>8.6575430000000004</v>
      </c>
    </row>
    <row r="29" spans="1:19" x14ac:dyDescent="0.25">
      <c r="B29" t="s">
        <v>87</v>
      </c>
      <c r="S29" s="26">
        <f>G28+S28</f>
        <v>9.646903</v>
      </c>
    </row>
  </sheetData>
  <mergeCells count="28">
    <mergeCell ref="A26:B26"/>
    <mergeCell ref="A27:B27"/>
    <mergeCell ref="A28:B28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3A35-414D-4D31-9116-31F511260AD3}">
  <dimension ref="A1:L23"/>
  <sheetViews>
    <sheetView workbookViewId="0"/>
  </sheetViews>
  <sheetFormatPr defaultRowHeight="15" x14ac:dyDescent="0.25"/>
  <cols>
    <col min="1" max="1" width="32.140625" bestFit="1" customWidth="1"/>
    <col min="2" max="2" width="12" bestFit="1" customWidth="1"/>
    <col min="3" max="3" width="11.85546875" customWidth="1"/>
    <col min="4" max="4" width="9.28515625" bestFit="1" customWidth="1"/>
    <col min="5" max="5" width="12.28515625" bestFit="1" customWidth="1"/>
    <col min="6" max="6" width="12.140625" customWidth="1"/>
    <col min="9" max="10" width="12.7109375" bestFit="1" customWidth="1"/>
    <col min="11" max="11" width="7.7109375" bestFit="1" customWidth="1"/>
  </cols>
  <sheetData>
    <row r="1" spans="1:12" ht="45" x14ac:dyDescent="0.25">
      <c r="A1" t="s">
        <v>37</v>
      </c>
      <c r="B1" t="s">
        <v>88</v>
      </c>
      <c r="C1" t="s">
        <v>53</v>
      </c>
      <c r="D1" t="s">
        <v>41</v>
      </c>
      <c r="E1" t="s">
        <v>89</v>
      </c>
      <c r="F1" t="s">
        <v>111</v>
      </c>
      <c r="G1" s="23" t="s">
        <v>54</v>
      </c>
      <c r="H1" s="23" t="s">
        <v>55</v>
      </c>
      <c r="I1" s="23" t="s">
        <v>56</v>
      </c>
      <c r="J1" s="23" t="s">
        <v>57</v>
      </c>
      <c r="K1" s="23" t="s">
        <v>58</v>
      </c>
      <c r="L1" s="23" t="s">
        <v>59</v>
      </c>
    </row>
    <row r="2" spans="1:12" x14ac:dyDescent="0.25">
      <c r="A2" t="s">
        <v>60</v>
      </c>
      <c r="B2">
        <v>9.7000000000000003E-2</v>
      </c>
      <c r="C2">
        <v>0.22867999999999999</v>
      </c>
      <c r="D2">
        <v>1.4</v>
      </c>
      <c r="E2">
        <v>-1E-8</v>
      </c>
      <c r="F2">
        <v>0</v>
      </c>
      <c r="G2">
        <f t="shared" ref="G2:G23" si="0">(B2/C2)/9.81+SIN(0)</f>
        <v>4.3238890680851162E-2</v>
      </c>
      <c r="H2">
        <f t="shared" ref="H2:H23" si="1">-(B2/C2)/9.81+SIN(0)</f>
        <v>-4.3238890680851162E-2</v>
      </c>
      <c r="I2">
        <f>1*(B2^2/9.81*0*COS(0))-SIN(0)</f>
        <v>0</v>
      </c>
      <c r="J2">
        <f>-1*(B2^2/9.81*0*COS(0))-SIN(0)</f>
        <v>0</v>
      </c>
      <c r="K2">
        <f t="shared" ref="K2:K23" si="2">((B2^2)/9.81*F2)+1</f>
        <v>1</v>
      </c>
      <c r="L2">
        <f t="shared" ref="L2:L23" si="3">((B2^2)/9.81*F2)-1</f>
        <v>-1</v>
      </c>
    </row>
    <row r="3" spans="1:12" x14ac:dyDescent="0.25">
      <c r="A3" t="s">
        <v>90</v>
      </c>
      <c r="B3">
        <v>0.14099999999999999</v>
      </c>
      <c r="C3">
        <v>1.5164</v>
      </c>
      <c r="D3">
        <v>1.42</v>
      </c>
      <c r="E3">
        <v>0</v>
      </c>
      <c r="F3">
        <v>0.18176999999999999</v>
      </c>
      <c r="G3">
        <f t="shared" si="0"/>
        <v>9.4784283071849707E-3</v>
      </c>
      <c r="H3">
        <f t="shared" si="1"/>
        <v>-9.4784283071849707E-3</v>
      </c>
      <c r="I3">
        <f>1*(B3^2/9.81*0.18177*COS(0))-SIN(0)</f>
        <v>3.6837608256880722E-4</v>
      </c>
      <c r="J3">
        <f>-1*(B3^2/9.81*0.18177*COS(0))-SIN(0)</f>
        <v>-3.6837608256880722E-4</v>
      </c>
      <c r="K3">
        <f t="shared" si="2"/>
        <v>1.0003683760825688</v>
      </c>
      <c r="L3">
        <f t="shared" si="3"/>
        <v>-0.99963162391743121</v>
      </c>
    </row>
    <row r="4" spans="1:12" x14ac:dyDescent="0.25">
      <c r="A4" t="s">
        <v>91</v>
      </c>
      <c r="B4">
        <v>0.59699999999999998</v>
      </c>
      <c r="C4">
        <v>0.50777000000000005</v>
      </c>
      <c r="D4">
        <v>1.4</v>
      </c>
      <c r="E4">
        <f>E2</f>
        <v>-1E-8</v>
      </c>
      <c r="F4">
        <v>0</v>
      </c>
      <c r="G4">
        <f t="shared" si="0"/>
        <v>0.11985006816698472</v>
      </c>
      <c r="H4">
        <f t="shared" si="1"/>
        <v>-0.11985006816698472</v>
      </c>
      <c r="I4">
        <f>1*(B4^2/9.81*0*COS(0))-SIN(0)</f>
        <v>0</v>
      </c>
      <c r="J4">
        <f>-1*(B4^2/9.81*0*COS(0))-SIN(0)</f>
        <v>0</v>
      </c>
      <c r="K4">
        <f t="shared" si="2"/>
        <v>1</v>
      </c>
      <c r="L4">
        <f t="shared" si="3"/>
        <v>-1</v>
      </c>
    </row>
    <row r="5" spans="1:12" x14ac:dyDescent="0.25">
      <c r="A5" t="s">
        <v>92</v>
      </c>
      <c r="B5">
        <v>0.60299999999999998</v>
      </c>
      <c r="C5">
        <v>0.18163000000000001</v>
      </c>
      <c r="D5">
        <v>1.87</v>
      </c>
      <c r="E5">
        <v>0</v>
      </c>
      <c r="F5">
        <v>0.11011</v>
      </c>
      <c r="G5">
        <f t="shared" si="0"/>
        <v>0.33842366298660392</v>
      </c>
      <c r="H5">
        <f t="shared" si="1"/>
        <v>-0.33842366298660392</v>
      </c>
      <c r="I5">
        <f t="shared" ref="I5:I23" si="4">1*(B5^2/9.81*F5*COS(0))-SIN(0)</f>
        <v>4.0812423027522934E-3</v>
      </c>
      <c r="J5">
        <f t="shared" ref="J5:J23" si="5">-1*(B5^2/9.81*F5*COS(0))-SIN(0)</f>
        <v>-4.0812423027522934E-3</v>
      </c>
      <c r="K5">
        <f t="shared" si="2"/>
        <v>1.0040812423027523</v>
      </c>
      <c r="L5">
        <f t="shared" si="3"/>
        <v>-0.99591875769724769</v>
      </c>
    </row>
    <row r="6" spans="1:12" x14ac:dyDescent="0.25">
      <c r="A6" t="s">
        <v>93</v>
      </c>
      <c r="B6">
        <v>0.1</v>
      </c>
      <c r="C6">
        <v>1.3714999999999999</v>
      </c>
      <c r="D6">
        <v>1.39</v>
      </c>
      <c r="E6">
        <v>0</v>
      </c>
      <c r="F6">
        <v>0.1</v>
      </c>
      <c r="G6">
        <f t="shared" si="0"/>
        <v>7.4325044975942847E-3</v>
      </c>
      <c r="H6">
        <f t="shared" si="1"/>
        <v>-7.4325044975942847E-3</v>
      </c>
      <c r="I6">
        <f t="shared" si="4"/>
        <v>1.0193679918450562E-4</v>
      </c>
      <c r="J6">
        <f t="shared" si="5"/>
        <v>-1.0193679918450562E-4</v>
      </c>
      <c r="K6">
        <f t="shared" si="2"/>
        <v>1.0001019367991846</v>
      </c>
      <c r="L6">
        <f t="shared" si="3"/>
        <v>-0.99989806320081553</v>
      </c>
    </row>
    <row r="7" spans="1:12" x14ac:dyDescent="0.25">
      <c r="A7" t="s">
        <v>94</v>
      </c>
      <c r="B7">
        <v>0.1</v>
      </c>
      <c r="C7">
        <v>1.0068999999999999</v>
      </c>
      <c r="D7">
        <v>1.4</v>
      </c>
      <c r="E7">
        <f>E4</f>
        <v>-1E-8</v>
      </c>
      <c r="F7">
        <v>0</v>
      </c>
      <c r="G7">
        <f t="shared" si="0"/>
        <v>1.0123825522346372E-2</v>
      </c>
      <c r="H7">
        <f t="shared" si="1"/>
        <v>-1.0123825522346372E-2</v>
      </c>
      <c r="I7">
        <f t="shared" si="4"/>
        <v>0</v>
      </c>
      <c r="J7">
        <f t="shared" si="5"/>
        <v>0</v>
      </c>
      <c r="K7">
        <f t="shared" si="2"/>
        <v>1</v>
      </c>
      <c r="L7">
        <f t="shared" si="3"/>
        <v>-1</v>
      </c>
    </row>
    <row r="8" spans="1:12" x14ac:dyDescent="0.25">
      <c r="A8" t="s">
        <v>95</v>
      </c>
      <c r="B8">
        <v>0.1</v>
      </c>
      <c r="C8">
        <v>0.49</v>
      </c>
      <c r="D8">
        <v>1.33</v>
      </c>
      <c r="E8">
        <f>E5</f>
        <v>0</v>
      </c>
      <c r="F8">
        <v>0.02</v>
      </c>
      <c r="G8">
        <f t="shared" si="0"/>
        <v>2.0803428405001143E-2</v>
      </c>
      <c r="H8">
        <f t="shared" si="1"/>
        <v>-2.0803428405001143E-2</v>
      </c>
      <c r="I8">
        <f t="shared" si="4"/>
        <v>2.0387359836901124E-5</v>
      </c>
      <c r="J8">
        <f t="shared" si="5"/>
        <v>-2.0387359836901124E-5</v>
      </c>
      <c r="K8">
        <f t="shared" si="2"/>
        <v>1.000020387359837</v>
      </c>
      <c r="L8">
        <f t="shared" si="3"/>
        <v>-0.99997961264016311</v>
      </c>
    </row>
    <row r="9" spans="1:12" x14ac:dyDescent="0.25">
      <c r="A9" t="s">
        <v>96</v>
      </c>
      <c r="B9">
        <v>0.1</v>
      </c>
      <c r="C9">
        <v>0.49</v>
      </c>
      <c r="D9">
        <v>1.35</v>
      </c>
      <c r="E9">
        <f>E6</f>
        <v>0</v>
      </c>
      <c r="F9">
        <v>0.03</v>
      </c>
      <c r="G9">
        <f t="shared" si="0"/>
        <v>2.0803428405001143E-2</v>
      </c>
      <c r="H9">
        <f t="shared" si="1"/>
        <v>-2.0803428405001143E-2</v>
      </c>
      <c r="I9">
        <f t="shared" si="4"/>
        <v>3.0581039755351684E-5</v>
      </c>
      <c r="J9">
        <f t="shared" si="5"/>
        <v>-3.0581039755351684E-5</v>
      </c>
      <c r="K9">
        <f t="shared" si="2"/>
        <v>1.0000305810397554</v>
      </c>
      <c r="L9">
        <f t="shared" si="3"/>
        <v>-0.9999694189602446</v>
      </c>
    </row>
    <row r="10" spans="1:12" x14ac:dyDescent="0.25">
      <c r="A10" t="s">
        <v>97</v>
      </c>
      <c r="B10">
        <v>0.78900000000000003</v>
      </c>
      <c r="C10">
        <v>0.10194</v>
      </c>
      <c r="D10">
        <v>3</v>
      </c>
      <c r="E10">
        <f>E7</f>
        <v>-1E-8</v>
      </c>
      <c r="F10">
        <v>5.5629999999999999E-2</v>
      </c>
      <c r="G10">
        <f t="shared" si="0"/>
        <v>0.78897522617789806</v>
      </c>
      <c r="H10">
        <f t="shared" si="1"/>
        <v>-0.78897522617789806</v>
      </c>
      <c r="I10">
        <f t="shared" si="4"/>
        <v>3.530157311926606E-3</v>
      </c>
      <c r="J10">
        <f t="shared" si="5"/>
        <v>-3.530157311926606E-3</v>
      </c>
      <c r="K10">
        <f t="shared" si="2"/>
        <v>1.0035301573119266</v>
      </c>
      <c r="L10">
        <f t="shared" si="3"/>
        <v>-0.99646984268807337</v>
      </c>
    </row>
    <row r="11" spans="1:12" x14ac:dyDescent="0.25">
      <c r="A11" t="s">
        <v>98</v>
      </c>
      <c r="B11">
        <v>0.995</v>
      </c>
      <c r="C11">
        <v>3.2260999999999998E-2</v>
      </c>
      <c r="D11">
        <v>5.63</v>
      </c>
      <c r="E11">
        <f>E8</f>
        <v>0</v>
      </c>
      <c r="F11">
        <v>3.338E-2</v>
      </c>
      <c r="G11">
        <f t="shared" si="0"/>
        <v>3.1439544709892155</v>
      </c>
      <c r="H11">
        <f t="shared" si="1"/>
        <v>-3.1439544709892155</v>
      </c>
      <c r="I11">
        <f t="shared" si="4"/>
        <v>3.3687089194699288E-3</v>
      </c>
      <c r="J11">
        <f t="shared" si="5"/>
        <v>-3.3687089194699288E-3</v>
      </c>
      <c r="K11">
        <f t="shared" si="2"/>
        <v>1.0033687089194698</v>
      </c>
      <c r="L11">
        <f t="shared" si="3"/>
        <v>-0.99663129108053006</v>
      </c>
    </row>
    <row r="12" spans="1:12" x14ac:dyDescent="0.25">
      <c r="A12" t="s">
        <v>99</v>
      </c>
      <c r="B12">
        <v>0.99199999999999999</v>
      </c>
      <c r="C12">
        <v>0.17291999999999999</v>
      </c>
      <c r="D12">
        <v>1.4</v>
      </c>
      <c r="E12">
        <v>1.28</v>
      </c>
      <c r="F12">
        <v>0.11</v>
      </c>
      <c r="G12">
        <f t="shared" si="0"/>
        <v>0.58478663422987254</v>
      </c>
      <c r="H12">
        <f t="shared" si="1"/>
        <v>-0.58478663422987254</v>
      </c>
      <c r="I12">
        <f t="shared" si="4"/>
        <v>1.1034356778797145E-2</v>
      </c>
      <c r="J12">
        <f t="shared" si="5"/>
        <v>-1.1034356778797145E-2</v>
      </c>
      <c r="K12">
        <f t="shared" si="2"/>
        <v>1.0110343567787972</v>
      </c>
      <c r="L12">
        <f t="shared" si="3"/>
        <v>-0.98896564322120284</v>
      </c>
    </row>
    <row r="13" spans="1:12" x14ac:dyDescent="0.25">
      <c r="A13" t="s">
        <v>100</v>
      </c>
      <c r="B13">
        <v>1.33</v>
      </c>
      <c r="C13">
        <v>0.33321000000000001</v>
      </c>
      <c r="D13">
        <v>18.239999999999998</v>
      </c>
      <c r="E13">
        <v>0</v>
      </c>
      <c r="F13">
        <v>1.4999999999999999E-2</v>
      </c>
      <c r="G13">
        <f t="shared" si="0"/>
        <v>0.40687837374446284</v>
      </c>
      <c r="H13">
        <f t="shared" si="1"/>
        <v>-0.40687837374446284</v>
      </c>
      <c r="I13">
        <f t="shared" si="4"/>
        <v>2.7047400611620795E-3</v>
      </c>
      <c r="J13">
        <f t="shared" si="5"/>
        <v>-2.7047400611620795E-3</v>
      </c>
      <c r="K13">
        <f t="shared" si="2"/>
        <v>1.0027047400611622</v>
      </c>
      <c r="L13">
        <f t="shared" si="3"/>
        <v>-0.99729525993883794</v>
      </c>
    </row>
    <row r="14" spans="1:12" x14ac:dyDescent="0.25">
      <c r="A14" t="s">
        <v>101</v>
      </c>
      <c r="B14">
        <v>1.4510000000000001</v>
      </c>
      <c r="C14">
        <v>0.19320999999999999</v>
      </c>
      <c r="D14">
        <v>1.4</v>
      </c>
      <c r="E14">
        <f>E10</f>
        <v>-1E-8</v>
      </c>
      <c r="F14">
        <v>0</v>
      </c>
      <c r="G14">
        <f t="shared" si="0"/>
        <v>0.76554161594491821</v>
      </c>
      <c r="H14">
        <f t="shared" si="1"/>
        <v>-0.76554161594491821</v>
      </c>
      <c r="I14">
        <f t="shared" si="4"/>
        <v>0</v>
      </c>
      <c r="J14">
        <f t="shared" si="5"/>
        <v>0</v>
      </c>
      <c r="K14">
        <f t="shared" si="2"/>
        <v>1</v>
      </c>
      <c r="L14">
        <f t="shared" si="3"/>
        <v>-1</v>
      </c>
    </row>
    <row r="15" spans="1:12" x14ac:dyDescent="0.25">
      <c r="A15" t="s">
        <v>102</v>
      </c>
      <c r="B15">
        <v>1.4510000000000001</v>
      </c>
      <c r="C15">
        <v>9.6477999999999998E-3</v>
      </c>
      <c r="D15">
        <v>-18.649999999999999</v>
      </c>
      <c r="E15">
        <v>0</v>
      </c>
      <c r="F15">
        <v>1.4999999999999999E-2</v>
      </c>
      <c r="G15">
        <f t="shared" si="0"/>
        <v>15.330986921030458</v>
      </c>
      <c r="H15">
        <f t="shared" si="1"/>
        <v>-15.330986921030458</v>
      </c>
      <c r="I15">
        <f t="shared" si="4"/>
        <v>3.2192675840978591E-3</v>
      </c>
      <c r="J15">
        <f t="shared" si="5"/>
        <v>-3.2192675840978591E-3</v>
      </c>
      <c r="K15">
        <f t="shared" si="2"/>
        <v>1.0032192675840979</v>
      </c>
      <c r="L15">
        <f t="shared" si="3"/>
        <v>-0.99678073241590215</v>
      </c>
    </row>
    <row r="16" spans="1:12" x14ac:dyDescent="0.25">
      <c r="A16" t="s">
        <v>103</v>
      </c>
      <c r="B16">
        <v>1.45</v>
      </c>
      <c r="C16">
        <v>6.9693000000000005E-2</v>
      </c>
      <c r="D16">
        <v>1.4</v>
      </c>
      <c r="E16">
        <v>4.62</v>
      </c>
      <c r="F16">
        <v>6.5000000000000002E-2</v>
      </c>
      <c r="G16">
        <f t="shared" si="0"/>
        <v>2.120849422718682</v>
      </c>
      <c r="H16">
        <f t="shared" si="1"/>
        <v>-2.120849422718682</v>
      </c>
      <c r="I16">
        <f t="shared" si="4"/>
        <v>1.3930937818552497E-2</v>
      </c>
      <c r="J16">
        <f t="shared" si="5"/>
        <v>-1.3930937818552497E-2</v>
      </c>
      <c r="K16">
        <f t="shared" si="2"/>
        <v>1.0139309378185526</v>
      </c>
      <c r="L16">
        <f t="shared" si="3"/>
        <v>-0.98606906218144752</v>
      </c>
    </row>
    <row r="17" spans="1:12" x14ac:dyDescent="0.25">
      <c r="A17" t="s">
        <v>104</v>
      </c>
      <c r="B17">
        <v>1.45</v>
      </c>
      <c r="C17">
        <v>0.11242000000000001</v>
      </c>
      <c r="D17">
        <v>3.23</v>
      </c>
      <c r="E17">
        <v>0</v>
      </c>
      <c r="F17">
        <v>0.16416</v>
      </c>
      <c r="G17">
        <f t="shared" si="0"/>
        <v>1.3147870380495741</v>
      </c>
      <c r="H17">
        <f t="shared" si="1"/>
        <v>-1.3147870380495741</v>
      </c>
      <c r="I17">
        <f t="shared" si="4"/>
        <v>3.5183119266055045E-2</v>
      </c>
      <c r="J17">
        <f t="shared" si="5"/>
        <v>-3.5183119266055045E-2</v>
      </c>
      <c r="K17">
        <f t="shared" si="2"/>
        <v>1.035183119266055</v>
      </c>
      <c r="L17">
        <f t="shared" si="3"/>
        <v>-0.964816880733945</v>
      </c>
    </row>
    <row r="18" spans="1:12" x14ac:dyDescent="0.25">
      <c r="A18" t="s">
        <v>105</v>
      </c>
      <c r="B18">
        <v>1.496</v>
      </c>
      <c r="C18">
        <v>0.1404</v>
      </c>
      <c r="D18">
        <v>1.4</v>
      </c>
      <c r="E18">
        <f>E14</f>
        <v>-1E-8</v>
      </c>
      <c r="F18">
        <v>0</v>
      </c>
      <c r="G18">
        <f t="shared" si="0"/>
        <v>1.0861641850428803</v>
      </c>
      <c r="H18">
        <f t="shared" si="1"/>
        <v>-1.0861641850428803</v>
      </c>
      <c r="I18">
        <f t="shared" si="4"/>
        <v>0</v>
      </c>
      <c r="J18">
        <f t="shared" si="5"/>
        <v>0</v>
      </c>
      <c r="K18">
        <f t="shared" si="2"/>
        <v>1</v>
      </c>
      <c r="L18">
        <f t="shared" si="3"/>
        <v>-1</v>
      </c>
    </row>
    <row r="19" spans="1:12" x14ac:dyDescent="0.25">
      <c r="A19" t="s">
        <v>106</v>
      </c>
      <c r="B19">
        <v>2.2839999999999998</v>
      </c>
      <c r="C19">
        <v>0.31463000000000002</v>
      </c>
      <c r="D19">
        <v>1.4</v>
      </c>
      <c r="E19">
        <v>3.96</v>
      </c>
      <c r="F19">
        <v>0.188</v>
      </c>
      <c r="G19">
        <f t="shared" si="0"/>
        <v>0.7399918931360987</v>
      </c>
      <c r="H19">
        <f t="shared" si="1"/>
        <v>-0.7399918931360987</v>
      </c>
      <c r="I19">
        <f t="shared" si="4"/>
        <v>9.9972612436289493E-2</v>
      </c>
      <c r="J19">
        <f t="shared" si="5"/>
        <v>-9.9972612436289493E-2</v>
      </c>
      <c r="K19">
        <f t="shared" si="2"/>
        <v>1.0999726124362894</v>
      </c>
      <c r="L19">
        <f t="shared" si="3"/>
        <v>-0.90002738756371048</v>
      </c>
    </row>
    <row r="20" spans="1:12" x14ac:dyDescent="0.25">
      <c r="A20" t="s">
        <v>107</v>
      </c>
      <c r="B20">
        <v>2.306</v>
      </c>
      <c r="C20">
        <v>0.15207000000000001</v>
      </c>
      <c r="D20">
        <v>1.4</v>
      </c>
      <c r="E20">
        <f>E18</f>
        <v>-1E-8</v>
      </c>
      <c r="F20">
        <v>0</v>
      </c>
      <c r="G20">
        <f t="shared" si="0"/>
        <v>1.5457766746858019</v>
      </c>
      <c r="H20">
        <f t="shared" si="1"/>
        <v>-1.5457766746858019</v>
      </c>
      <c r="I20">
        <f t="shared" si="4"/>
        <v>0</v>
      </c>
      <c r="J20">
        <f t="shared" si="5"/>
        <v>0</v>
      </c>
      <c r="K20">
        <f t="shared" si="2"/>
        <v>1</v>
      </c>
      <c r="L20">
        <f t="shared" si="3"/>
        <v>-1</v>
      </c>
    </row>
    <row r="21" spans="1:12" x14ac:dyDescent="0.25">
      <c r="A21" t="s">
        <v>108</v>
      </c>
      <c r="B21">
        <v>2.306</v>
      </c>
      <c r="C21">
        <v>5.4078000000000001E-2</v>
      </c>
      <c r="D21">
        <v>1.4</v>
      </c>
      <c r="E21">
        <v>9.49</v>
      </c>
      <c r="F21">
        <v>0.08</v>
      </c>
      <c r="G21">
        <f t="shared" si="0"/>
        <v>4.3468001575404029</v>
      </c>
      <c r="H21">
        <f t="shared" si="1"/>
        <v>-4.3468001575404029</v>
      </c>
      <c r="I21">
        <f t="shared" si="4"/>
        <v>4.3365023445463814E-2</v>
      </c>
      <c r="J21">
        <f t="shared" si="5"/>
        <v>-4.3365023445463814E-2</v>
      </c>
      <c r="K21">
        <f t="shared" si="2"/>
        <v>1.0433650234454639</v>
      </c>
      <c r="L21">
        <f t="shared" si="3"/>
        <v>-0.95663497655453622</v>
      </c>
    </row>
    <row r="22" spans="1:12" x14ac:dyDescent="0.25">
      <c r="A22" t="s">
        <v>109</v>
      </c>
      <c r="B22">
        <v>0.1</v>
      </c>
      <c r="C22">
        <v>0.80718999999999996</v>
      </c>
      <c r="D22">
        <v>1.4</v>
      </c>
      <c r="E22">
        <f>E20</f>
        <v>-1E-8</v>
      </c>
      <c r="F22">
        <v>0</v>
      </c>
      <c r="G22">
        <f t="shared" si="0"/>
        <v>1.2628600352396041E-2</v>
      </c>
      <c r="H22">
        <f t="shared" si="1"/>
        <v>-1.2628600352396041E-2</v>
      </c>
      <c r="I22">
        <f t="shared" si="4"/>
        <v>0</v>
      </c>
      <c r="J22">
        <f t="shared" si="5"/>
        <v>0</v>
      </c>
      <c r="K22">
        <f t="shared" si="2"/>
        <v>1</v>
      </c>
      <c r="L22">
        <f t="shared" si="3"/>
        <v>-1</v>
      </c>
    </row>
    <row r="23" spans="1:12" x14ac:dyDescent="0.25">
      <c r="A23" t="s">
        <v>110</v>
      </c>
      <c r="B23">
        <v>0.88</v>
      </c>
      <c r="C23">
        <v>0.98936000000000002</v>
      </c>
      <c r="D23">
        <v>1.4</v>
      </c>
      <c r="E23">
        <v>0.02</v>
      </c>
      <c r="F23">
        <v>0.06</v>
      </c>
      <c r="G23">
        <f t="shared" si="0"/>
        <v>9.0669102533319446E-2</v>
      </c>
      <c r="H23">
        <f t="shared" si="1"/>
        <v>-9.0669102533319446E-2</v>
      </c>
      <c r="I23">
        <f t="shared" si="4"/>
        <v>4.7363914373088675E-3</v>
      </c>
      <c r="J23">
        <f t="shared" si="5"/>
        <v>-4.7363914373088675E-3</v>
      </c>
      <c r="K23">
        <f t="shared" si="2"/>
        <v>1.0047363914373089</v>
      </c>
      <c r="L23">
        <f t="shared" si="3"/>
        <v>-0.99526360856269114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C23A9B9736574994E88EF6318CFCFF" ma:contentTypeVersion="19" ma:contentTypeDescription="Create a new document." ma:contentTypeScope="" ma:versionID="09661d2283a4ebdfe54721046de03eed">
  <xsd:schema xmlns:xsd="http://www.w3.org/2001/XMLSchema" xmlns:xs="http://www.w3.org/2001/XMLSchema" xmlns:p="http://schemas.microsoft.com/office/2006/metadata/properties" xmlns:ns2="36bbaa85-1daf-498a-acd6-44e583208cbb" xmlns:ns3="88916fe3-f742-4c67-ba34-d52f3e03b5b1" targetNamespace="http://schemas.microsoft.com/office/2006/metadata/properties" ma:root="true" ma:fieldsID="59dc1fbf5cc4a44d7769acdd5577faff" ns2:_="" ns3:_="">
    <xsd:import namespace="36bbaa85-1daf-498a-acd6-44e583208cbb"/>
    <xsd:import namespace="88916fe3-f742-4c67-ba34-d52f3e03b5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baa85-1daf-498a-acd6-44e583208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84d4cd7-a39b-4460-b33b-417b4461d6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916fe3-f742-4c67-ba34-d52f3e03b5b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80dfeb4-d517-4af2-bf86-bbb1ed0818a8}" ma:internalName="TaxCatchAll" ma:showField="CatchAllData" ma:web="88916fe3-f742-4c67-ba34-d52f3e03b5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bbaa85-1daf-498a-acd6-44e583208cbb">
      <Terms xmlns="http://schemas.microsoft.com/office/infopath/2007/PartnerControls"/>
    </lcf76f155ced4ddcb4097134ff3c332f>
    <TaxCatchAll xmlns="88916fe3-f742-4c67-ba34-d52f3e03b5b1" xsi:nil="true"/>
  </documentManagement>
</p:properties>
</file>

<file path=customXml/itemProps1.xml><?xml version="1.0" encoding="utf-8"?>
<ds:datastoreItem xmlns:ds="http://schemas.openxmlformats.org/officeDocument/2006/customXml" ds:itemID="{68EEEA3F-5838-42CC-A2C8-56C8F3B8FB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8EA258-2F69-45FC-9056-431FFE2AC3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bbaa85-1daf-498a-acd6-44e583208cbb"/>
    <ds:schemaRef ds:uri="88916fe3-f742-4c67-ba34-d52f3e03b5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2D2030-EDFA-4D32-BC3D-37ABE0E12C32}">
  <ds:schemaRefs>
    <ds:schemaRef ds:uri="http://purl.org/dc/elements/1.1/"/>
    <ds:schemaRef ds:uri="http://schemas.openxmlformats.org/package/2006/metadata/core-properties"/>
    <ds:schemaRef ds:uri="http://purl.org/dc/dcmitype/"/>
    <ds:schemaRef ds:uri="88916fe3-f742-4c67-ba34-d52f3e03b5b1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36bbaa85-1daf-498a-acd6-44e583208cbb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baf8218e-b302-4465-a993-4a39c97251b2}" enabled="0" method="" siteId="{baf8218e-b302-4465-a993-4a39c97251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Accel-Charts</vt:lpstr>
      <vt:lpstr>Eyes Calculations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Josiah Farinacci</dc:creator>
  <cp:keywords/>
  <dc:description/>
  <cp:lastModifiedBy>Farinacci, Josiah</cp:lastModifiedBy>
  <cp:revision/>
  <dcterms:created xsi:type="dcterms:W3CDTF">2026-02-18T21:50:50Z</dcterms:created>
  <dcterms:modified xsi:type="dcterms:W3CDTF">2026-08-06T00:19:42Z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0x0101009BC23A9B9736574994E88EF6318CFCFF</vt:lpwstr>
  </property>
  <property fmtid="{D5CDD505-2E9C-101B-9397-08002B2CF9AE}" pid="3" name="MediaServiceImageTags">
    <vt:lpwstr/>
  </property>
</Properties>
</file>