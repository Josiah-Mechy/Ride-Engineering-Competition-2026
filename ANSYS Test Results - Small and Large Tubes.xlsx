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a\Downloads\"/>
    </mc:Choice>
  </mc:AlternateContent>
  <xr:revisionPtr revIDLastSave="0" documentId="13_ncr:1_{66A989D4-BDFE-47A8-9A35-5218216069B7}" xr6:coauthVersionLast="47" xr6:coauthVersionMax="47" xr10:uidLastSave="{00000000-0000-0000-0000-000000000000}"/>
  <bookViews>
    <workbookView xWindow="0" yWindow="0" windowWidth="14610" windowHeight="15480" activeTab="1" xr2:uid="{9DEAAB06-28AC-4264-929A-07CA40A76E23}"/>
  </bookViews>
  <sheets>
    <sheet name="Small - 41" sheetId="2" r:id="rId1"/>
    <sheet name="Long - 38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C17" i="3" l="1"/>
  <c r="C5" i="3"/>
  <c r="B16" i="3"/>
  <c r="B18" i="3" s="1"/>
  <c r="B10" i="3"/>
  <c r="B12" i="3" s="1"/>
  <c r="C18" i="3"/>
  <c r="C6" i="3"/>
  <c r="C4" i="3"/>
  <c r="C16" i="3"/>
  <c r="B4" i="3"/>
  <c r="C16" i="2"/>
  <c r="C10" i="2"/>
  <c r="D11" i="2" s="1"/>
  <c r="C4" i="2"/>
  <c r="C17" i="2"/>
  <c r="C11" i="2"/>
  <c r="D12" i="2" s="1"/>
  <c r="C5" i="2"/>
  <c r="C6" i="2"/>
  <c r="C18" i="2"/>
  <c r="B4" i="2"/>
  <c r="B5" i="2" s="1"/>
  <c r="B6" i="2" s="1"/>
  <c r="B18" i="2" s="1"/>
  <c r="D18" i="3" l="1"/>
  <c r="D17" i="3"/>
  <c r="D6" i="3"/>
  <c r="D5" i="3"/>
  <c r="D5" i="2"/>
  <c r="D6" i="2"/>
  <c r="D17" i="2"/>
  <c r="D18" i="2"/>
  <c r="B6" i="3"/>
  <c r="B10" i="2"/>
  <c r="B12" i="2"/>
  <c r="B17" i="2"/>
  <c r="B11" i="2"/>
  <c r="B16" i="2"/>
</calcChain>
</file>

<file path=xl/sharedStrings.xml><?xml version="1.0" encoding="utf-8"?>
<sst xmlns="http://schemas.openxmlformats.org/spreadsheetml/2006/main" count="32" uniqueCount="11">
  <si>
    <t>Iteration</t>
  </si>
  <si>
    <t>Mesh Size (mm)</t>
  </si>
  <si>
    <t>ANSYS Simulation Results - Small Tube</t>
  </si>
  <si>
    <t>Percent Change</t>
  </si>
  <si>
    <t>Strain</t>
  </si>
  <si>
    <t>Stress</t>
  </si>
  <si>
    <t>Deformation</t>
  </si>
  <si>
    <t>Average Deformation</t>
  </si>
  <si>
    <t>Average Equivalent Stress</t>
  </si>
  <si>
    <t>Average Equivalent Elastic Strain</t>
  </si>
  <si>
    <t>ANSYS Simulation Results - Long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</si>
</sst>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Short Tube - 41 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'Small - 41'!$B$16:$B$18</c:f>
              <c:numCache>
                <c:formatCode>General</c:formatCode>
                <c:ptCount val="3"/>
                <c:pt idx="0">
                  <c:v>5.0000000000000001E-4</c:v>
                </c:pt>
                <c:pt idx="1">
                  <c:v>2.5000000000000001E-4</c:v>
                </c:pt>
                <c:pt idx="2">
                  <c:v>1.25E-4</c:v>
                </c:pt>
              </c:numCache>
            </c:numRef>
          </c:xVal>
          <c:yVal>
            <c:numRef>
              <c:f>'Small - 41'!$C$16:$C$18</c:f>
              <c:numCache>
                <c:formatCode>General</c:formatCode>
                <c:ptCount val="3"/>
                <c:pt idx="0">
                  <c:v>5.6373E-9</c:v>
                </c:pt>
                <c:pt idx="1">
                  <c:v>5.6395000000000006E-9</c:v>
                </c:pt>
                <c:pt idx="2">
                  <c:v>5.6398999999999999E-9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C7-40CA-8490-885DADF72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489904"/>
        <c:axId val="292492304"/>
      </c:scatterChart>
      <c:valAx>
        <c:axId val="29248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Element Size (mm)</a:t>
                </a:r>
              </a:p>
            </c:rich>
          </c:tx>
          <c:layout>
            <c:manualLayout>
              <c:xMode val="edge"/>
              <c:yMode val="edge"/>
              <c:x val="0.4147211286089239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92304"/>
        <c:crosses val="autoZero"/>
        <c:crossBetween val="midCat"/>
      </c:valAx>
      <c:valAx>
        <c:axId val="2924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Deformation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8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Short</a:t>
            </a:r>
            <a:r>
              <a:rPr lang="en-US" baseline="0"/>
              <a:t> Tube - 41 mm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'Small - 41'!$B$16:$B$18</c:f>
              <c:numCache>
                <c:formatCode>General</c:formatCode>
                <c:ptCount val="3"/>
                <c:pt idx="0">
                  <c:v>5.0000000000000001E-4</c:v>
                </c:pt>
                <c:pt idx="1">
                  <c:v>2.5000000000000001E-4</c:v>
                </c:pt>
                <c:pt idx="2">
                  <c:v>1.25E-4</c:v>
                </c:pt>
              </c:numCache>
            </c:numRef>
          </c:xVal>
          <c:yVal>
            <c:numRef>
              <c:f>'Small - 41'!$D$16:$D$18</c:f>
              <c:numCache>
                <c:formatCode>General</c:formatCode>
                <c:ptCount val="3"/>
                <c:pt idx="0">
                  <c:v>0</c:v>
                </c:pt>
                <c:pt idx="1">
                  <c:v>4.6121370159472985E-2</c:v>
                </c:pt>
                <c:pt idx="2">
                  <c:v>7.0928273783011867E-3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9C-438D-A675-19CFED067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96016"/>
        <c:axId val="135002736"/>
      </c:scatterChart>
      <c:valAx>
        <c:axId val="13499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Element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02736"/>
        <c:crosses val="autoZero"/>
        <c:crossBetween val="midCat"/>
      </c:valAx>
      <c:valAx>
        <c:axId val="1350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Absolute Percent Difference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Long Tube - 385 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'Long - 385'!$B$16:$B$18</c:f>
              <c:numCache>
                <c:formatCode>General</c:formatCode>
                <c:ptCount val="3"/>
                <c:pt idx="0">
                  <c:v>5.0000000000000001E-4</c:v>
                </c:pt>
                <c:pt idx="1">
                  <c:v>2.9999999999999997E-4</c:v>
                </c:pt>
                <c:pt idx="2">
                  <c:v>2.5000000000000001E-4</c:v>
                </c:pt>
              </c:numCache>
            </c:numRef>
          </c:xVal>
          <c:yVal>
            <c:numRef>
              <c:f>'Long - 385'!$C$16:$C$18</c:f>
              <c:numCache>
                <c:formatCode>General</c:formatCode>
                <c:ptCount val="3"/>
                <c:pt idx="0">
                  <c:v>4.8648999999999994E-8</c:v>
                </c:pt>
                <c:pt idx="1">
                  <c:v>4.8651999999999998E-8</c:v>
                </c:pt>
                <c:pt idx="2">
                  <c:v>4.8653000000000006E-8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8-452F-B573-10330B188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052896"/>
        <c:axId val="296047136"/>
      </c:scatterChart>
      <c:valAx>
        <c:axId val="29605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Element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47136"/>
        <c:crosses val="autoZero"/>
        <c:crossBetween val="midCat"/>
      </c:valAx>
      <c:valAx>
        <c:axId val="2960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Deformation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5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 Tube - 385 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'Long - 385'!$B$16:$B$18</c:f>
              <c:numCache>
                <c:formatCode>General</c:formatCode>
                <c:ptCount val="3"/>
                <c:pt idx="0">
                  <c:v>5.0000000000000001E-4</c:v>
                </c:pt>
                <c:pt idx="1">
                  <c:v>2.9999999999999997E-4</c:v>
                </c:pt>
                <c:pt idx="2">
                  <c:v>2.5000000000000001E-4</c:v>
                </c:pt>
              </c:numCache>
            </c:numRef>
          </c:xVal>
          <c:yVal>
            <c:numRef>
              <c:f>'Long - 385'!$D$16:$D$18</c:f>
              <c:numCache>
                <c:formatCode>General</c:formatCode>
                <c:ptCount val="3"/>
                <c:pt idx="0">
                  <c:v>0</c:v>
                </c:pt>
                <c:pt idx="1">
                  <c:v>8.2221628399579711E-3</c:v>
                </c:pt>
                <c:pt idx="2">
                  <c:v>2.055413960387551E-3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A-466D-99D3-E2F82F556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451920"/>
        <c:axId val="287449520"/>
      </c:scatterChart>
      <c:valAx>
        <c:axId val="28745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Element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49520"/>
        <c:crosses val="autoZero"/>
        <c:crossBetween val="midCat"/>
      </c:valAx>
      <c:valAx>
        <c:axId val="28744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Absolute Percent Difference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5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1</xdr:row>
      <xdr:rowOff>185737</xdr:rowOff>
    </xdr:from>
    <xdr:to>
      <xdr:col>12</xdr:col>
      <xdr:colOff>500062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BA6D3-1100-F2B2-7424-7E6BE22F8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461962</xdr:colOff>
      <xdr:row>18</xdr:row>
      <xdr:rowOff>4762</xdr:rowOff>
    </xdr:from>
    <xdr:to>
      <xdr:col>12</xdr:col>
      <xdr:colOff>157162</xdr:colOff>
      <xdr:row>32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E6FDD-DBA5-7861-A1DE-42AB084FC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290512</xdr:colOff>
      <xdr:row>0</xdr:row>
      <xdr:rowOff>52387</xdr:rowOff>
    </xdr:from>
    <xdr:to>
      <xdr:col>11</xdr:col>
      <xdr:colOff>595312</xdr:colOff>
      <xdr:row>13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8C0068-91B8-8BDD-90DE-283009ADB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290512</xdr:colOff>
      <xdr:row>13</xdr:row>
      <xdr:rowOff>157162</xdr:rowOff>
    </xdr:from>
    <xdr:to>
      <xdr:col>11</xdr:col>
      <xdr:colOff>595312</xdr:colOff>
      <xdr:row>28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94F5A0-5FAC-B82F-82DA-12BA111C9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1584-49E1-41B6-9F3C-41C2A03BB8F9}">
  <dimension ref="A1:D18"/>
  <sheetViews>
    <sheetView topLeftCell="C1" workbookViewId="0">
      <selection activeCell="O22" sqref="O22"/>
    </sheetView>
  </sheetViews>
  <sheetFormatPr defaultRowHeight="15" x14ac:dyDescent="0.25"/>
  <cols>
    <col min="1" max="1" width="8.42578125" bestFit="1" customWidth="1"/>
    <col min="2" max="2" width="15" bestFit="1" customWidth="1"/>
    <col min="3" max="3" width="31.5703125" bestFit="1" customWidth="1"/>
    <col min="4" max="4" width="15" customWidth="1"/>
  </cols>
  <sheetData>
    <row r="1" spans="1:4" x14ac:dyDescent="0.25">
      <c r="A1" s="2" t="s">
        <v>2</v>
      </c>
      <c r="B1" s="2"/>
      <c r="C1" s="2"/>
      <c r="D1" s="2"/>
    </row>
    <row r="2" spans="1:4" x14ac:dyDescent="0.25">
      <c r="A2" s="2" t="s">
        <v>4</v>
      </c>
      <c r="B2" s="2"/>
      <c r="C2" s="2"/>
      <c r="D2" s="2"/>
    </row>
    <row r="3" spans="1:4" x14ac:dyDescent="0.25">
      <c r="A3" s="1" t="s">
        <v>0</v>
      </c>
      <c r="B3" s="1" t="s">
        <v>1</v>
      </c>
      <c r="C3" s="1" t="s">
        <v>9</v>
      </c>
      <c r="D3" s="1" t="s">
        <v>3</v>
      </c>
    </row>
    <row r="4" spans="1:4" x14ac:dyDescent="0.25">
      <c r="A4">
        <v>1</v>
      </c>
      <c r="B4">
        <f>5*10^-4</f>
        <v>5.0000000000000001E-4</v>
      </c>
      <c r="C4">
        <f>2.6809*10^-7</f>
        <v>2.6808999999999996E-7</v>
      </c>
      <c r="D4">
        <v>0</v>
      </c>
    </row>
    <row r="5" spans="1:4" x14ac:dyDescent="0.25">
      <c r="A5">
        <v>2</v>
      </c>
      <c r="B5">
        <f>B4/2</f>
        <v>2.5000000000000001E-4</v>
      </c>
      <c r="C5">
        <f>2.6809*10^-7</f>
        <v>2.6808999999999996E-7</v>
      </c>
      <c r="D5">
        <f>ABS(C6-C4)/C4*100</f>
        <v>3.3570815770802065E-2</v>
      </c>
    </row>
    <row r="6" spans="1:4" x14ac:dyDescent="0.25">
      <c r="A6">
        <v>3</v>
      </c>
      <c r="B6">
        <f>B5/2</f>
        <v>1.25E-4</v>
      </c>
      <c r="C6">
        <f>2.68*10^-7</f>
        <v>2.6800000000000002E-7</v>
      </c>
      <c r="D6">
        <f>(ABS(C6-C5)/C5*100)</f>
        <v>3.3570815770802065E-2</v>
      </c>
    </row>
    <row r="8" spans="1:4" x14ac:dyDescent="0.25">
      <c r="A8" s="2" t="s">
        <v>5</v>
      </c>
      <c r="B8" s="2"/>
      <c r="C8" s="2"/>
      <c r="D8" s="2"/>
    </row>
    <row r="9" spans="1:4" x14ac:dyDescent="0.25">
      <c r="A9" s="1" t="s">
        <v>0</v>
      </c>
      <c r="B9" s="1" t="s">
        <v>1</v>
      </c>
      <c r="C9" s="1" t="s">
        <v>8</v>
      </c>
      <c r="D9" s="1" t="s">
        <v>3</v>
      </c>
    </row>
    <row r="10" spans="1:4" x14ac:dyDescent="0.25">
      <c r="A10">
        <v>1</v>
      </c>
      <c r="B10">
        <f>B4</f>
        <v>5.0000000000000001E-4</v>
      </c>
      <c r="C10">
        <f>29450</f>
        <v>29450</v>
      </c>
      <c r="D10">
        <v>0</v>
      </c>
    </row>
    <row r="11" spans="1:4" x14ac:dyDescent="0.25">
      <c r="A11">
        <v>2</v>
      </c>
      <c r="B11">
        <f>B5</f>
        <v>2.5000000000000001E-4</v>
      </c>
      <c r="C11">
        <f>29457</f>
        <v>29457</v>
      </c>
      <c r="D11">
        <f>ABS(C12-C10)/C10*100</f>
        <v>6.7911714770797962E-3</v>
      </c>
    </row>
    <row r="12" spans="1:4" x14ac:dyDescent="0.25">
      <c r="A12">
        <v>3</v>
      </c>
      <c r="B12">
        <f>B6</f>
        <v>1.25E-4</v>
      </c>
      <c r="C12">
        <v>29452</v>
      </c>
      <c r="D12">
        <f>ABS(C12-C11)/C11*100</f>
        <v>1.6973894150796077E-2</v>
      </c>
    </row>
    <row r="14" spans="1:4" x14ac:dyDescent="0.25">
      <c r="A14" s="2" t="s">
        <v>6</v>
      </c>
      <c r="B14" s="2"/>
      <c r="C14" s="2"/>
      <c r="D14" s="2"/>
    </row>
    <row r="15" spans="1:4" x14ac:dyDescent="0.25">
      <c r="A15" s="1" t="s">
        <v>0</v>
      </c>
      <c r="B15" s="1" t="s">
        <v>1</v>
      </c>
      <c r="C15" s="1" t="s">
        <v>7</v>
      </c>
      <c r="D15" s="1" t="s">
        <v>3</v>
      </c>
    </row>
    <row r="16" spans="1:4" x14ac:dyDescent="0.25">
      <c r="A16">
        <v>1</v>
      </c>
      <c r="B16">
        <f>B4</f>
        <v>5.0000000000000001E-4</v>
      </c>
      <c r="C16">
        <f>5.6373*10^-9</f>
        <v>5.6373E-9</v>
      </c>
      <c r="D16">
        <v>0</v>
      </c>
    </row>
    <row r="17" spans="1:4" x14ac:dyDescent="0.25">
      <c r="A17">
        <v>2</v>
      </c>
      <c r="B17">
        <f>B5</f>
        <v>2.5000000000000001E-4</v>
      </c>
      <c r="C17">
        <f>5.6395*10^-9</f>
        <v>5.6395000000000006E-9</v>
      </c>
      <c r="D17">
        <f>ABS(C18-C16)/C16*100</f>
        <v>4.6121370159472985E-2</v>
      </c>
    </row>
    <row r="18" spans="1:4" x14ac:dyDescent="0.25">
      <c r="A18">
        <v>3</v>
      </c>
      <c r="B18">
        <f>B6</f>
        <v>1.25E-4</v>
      </c>
      <c r="C18">
        <f>5.6399*10^-9</f>
        <v>5.6398999999999999E-9</v>
      </c>
      <c r="D18">
        <f>ABS(C18-C17)/C17*100</f>
        <v>7.0928273783011867E-3</v>
      </c>
    </row>
  </sheetData>
  <mergeCells count="4">
    <mergeCell ref="A1:D1"/>
    <mergeCell ref="A2:D2"/>
    <mergeCell ref="A8:D8"/>
    <mergeCell ref="A14:D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3C6D-048C-443A-BF34-012D3CB8614F}">
  <dimension ref="A1:D18"/>
  <sheetViews>
    <sheetView tabSelected="1" topLeftCell="F1" workbookViewId="0">
      <selection activeCell="F37" sqref="F37"/>
    </sheetView>
  </sheetViews>
  <sheetFormatPr defaultRowHeight="15" x14ac:dyDescent="0.25"/>
  <cols>
    <col min="1" max="1" width="8.42578125" bestFit="1" customWidth="1"/>
    <col min="2" max="2" width="15" bestFit="1" customWidth="1"/>
    <col min="3" max="3" width="30" bestFit="1" customWidth="1"/>
    <col min="4" max="4" width="14.7109375" bestFit="1" customWidth="1"/>
  </cols>
  <sheetData>
    <row r="1" spans="1:4" x14ac:dyDescent="0.25">
      <c r="A1" s="2" t="s">
        <v>10</v>
      </c>
      <c r="B1" s="2"/>
      <c r="C1" s="2"/>
      <c r="D1" s="2"/>
    </row>
    <row r="2" spans="1:4" x14ac:dyDescent="0.25">
      <c r="A2" s="2" t="s">
        <v>4</v>
      </c>
      <c r="B2" s="2"/>
      <c r="C2" s="2"/>
      <c r="D2" s="2"/>
    </row>
    <row r="3" spans="1:4" x14ac:dyDescent="0.25">
      <c r="A3" s="1" t="s">
        <v>0</v>
      </c>
      <c r="B3" s="1" t="s">
        <v>1</v>
      </c>
      <c r="C3" s="1" t="s">
        <v>9</v>
      </c>
      <c r="D3" s="1" t="s">
        <v>3</v>
      </c>
    </row>
    <row r="4" spans="1:4" x14ac:dyDescent="0.25">
      <c r="A4">
        <v>1</v>
      </c>
      <c r="B4">
        <f>5*10^-4</f>
        <v>5.0000000000000001E-4</v>
      </c>
      <c r="C4">
        <f>2.2463*10^-7</f>
        <v>2.2463000000000002E-7</v>
      </c>
      <c r="D4">
        <v>0</v>
      </c>
    </row>
    <row r="5" spans="1:4" x14ac:dyDescent="0.25">
      <c r="A5">
        <v>2</v>
      </c>
      <c r="B5">
        <v>2.9999999999999997E-4</v>
      </c>
      <c r="C5">
        <f>2.2464*10^-7</f>
        <v>2.2463999999999998E-7</v>
      </c>
      <c r="D5">
        <f>ABS(C6-C4)/C4*100</f>
        <v>4.451765124853492E-3</v>
      </c>
    </row>
    <row r="6" spans="1:4" x14ac:dyDescent="0.25">
      <c r="A6">
        <v>3</v>
      </c>
      <c r="B6">
        <f>B4/2</f>
        <v>2.5000000000000001E-4</v>
      </c>
      <c r="C6">
        <f>2.2464*10^-7</f>
        <v>2.2463999999999998E-7</v>
      </c>
      <c r="D6">
        <f>ABS(C6-C5)/C5*100</f>
        <v>0</v>
      </c>
    </row>
    <row r="8" spans="1:4" x14ac:dyDescent="0.25">
      <c r="A8" s="2" t="s">
        <v>5</v>
      </c>
      <c r="B8" s="2"/>
      <c r="C8" s="2"/>
      <c r="D8" s="2"/>
    </row>
    <row r="9" spans="1:4" x14ac:dyDescent="0.25">
      <c r="A9" s="1" t="s">
        <v>0</v>
      </c>
      <c r="B9" s="1" t="s">
        <v>1</v>
      </c>
      <c r="C9" s="1" t="s">
        <v>8</v>
      </c>
      <c r="D9" s="1" t="s">
        <v>3</v>
      </c>
    </row>
    <row r="10" spans="1:4" x14ac:dyDescent="0.25">
      <c r="A10">
        <v>1</v>
      </c>
      <c r="B10">
        <f>5*10^-4</f>
        <v>5.0000000000000001E-4</v>
      </c>
      <c r="C10">
        <v>44924</v>
      </c>
      <c r="D10">
        <v>0</v>
      </c>
    </row>
    <row r="11" spans="1:4" x14ac:dyDescent="0.25">
      <c r="A11">
        <v>2</v>
      </c>
      <c r="B11">
        <v>2.9999999999999997E-4</v>
      </c>
      <c r="C11">
        <v>44926</v>
      </c>
      <c r="D11">
        <f>ABS(C12-C10)/C10*100</f>
        <v>6.6779449737334158E-3</v>
      </c>
    </row>
    <row r="12" spans="1:4" x14ac:dyDescent="0.25">
      <c r="A12">
        <v>3</v>
      </c>
      <c r="B12">
        <f>B10/2</f>
        <v>2.5000000000000001E-4</v>
      </c>
      <c r="C12">
        <v>44927</v>
      </c>
      <c r="D12">
        <f>ABS(C12-C11)/C11*100</f>
        <v>2.225882562436006E-3</v>
      </c>
    </row>
    <row r="14" spans="1:4" x14ac:dyDescent="0.25">
      <c r="A14" s="2" t="s">
        <v>6</v>
      </c>
      <c r="B14" s="2"/>
      <c r="C14" s="2"/>
      <c r="D14" s="2"/>
    </row>
    <row r="15" spans="1:4" x14ac:dyDescent="0.25">
      <c r="A15" s="1" t="s">
        <v>0</v>
      </c>
      <c r="B15" s="1" t="s">
        <v>1</v>
      </c>
      <c r="C15" s="1" t="s">
        <v>7</v>
      </c>
      <c r="D15" s="1" t="s">
        <v>3</v>
      </c>
    </row>
    <row r="16" spans="1:4" x14ac:dyDescent="0.25">
      <c r="A16">
        <v>1</v>
      </c>
      <c r="B16">
        <f>5*10^-4</f>
        <v>5.0000000000000001E-4</v>
      </c>
      <c r="C16">
        <f>4.8649*10^-8</f>
        <v>4.8648999999999994E-8</v>
      </c>
      <c r="D16">
        <v>0</v>
      </c>
    </row>
    <row r="17" spans="1:4" x14ac:dyDescent="0.25">
      <c r="A17">
        <v>2</v>
      </c>
      <c r="B17">
        <v>2.9999999999999997E-4</v>
      </c>
      <c r="C17">
        <f>4.8652*10^-8</f>
        <v>4.8651999999999998E-8</v>
      </c>
      <c r="D17">
        <f>ABS(C18-C16)/C16*100</f>
        <v>8.2221628399579711E-3</v>
      </c>
    </row>
    <row r="18" spans="1:4" x14ac:dyDescent="0.25">
      <c r="A18">
        <v>3</v>
      </c>
      <c r="B18">
        <f>B16/2</f>
        <v>2.5000000000000001E-4</v>
      </c>
      <c r="C18">
        <f>4.8653*10^-8</f>
        <v>4.8653000000000006E-8</v>
      </c>
      <c r="D18">
        <f>ABS(C18-C17)/C17*100</f>
        <v>2.055413960387551E-3</v>
      </c>
    </row>
  </sheetData>
  <mergeCells count="4">
    <mergeCell ref="A1:D1"/>
    <mergeCell ref="A2:D2"/>
    <mergeCell ref="A8:D8"/>
    <mergeCell ref="A14:D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23A9B9736574994E88EF6318CFCFF" ma:contentTypeVersion="18" ma:contentTypeDescription="Create a new document." ma:contentTypeScope="" ma:versionID="aa6c1a30a1775bde2c9b5a0e2b4318a4">
  <xsd:schema xmlns:xsd="http://www.w3.org/2001/XMLSchema" xmlns:xs="http://www.w3.org/2001/XMLSchema" xmlns:p="http://schemas.microsoft.com/office/2006/metadata/properties" xmlns:ns2="36bbaa85-1daf-498a-acd6-44e583208cbb" xmlns:ns3="88916fe3-f742-4c67-ba34-d52f3e03b5b1" targetNamespace="http://schemas.microsoft.com/office/2006/metadata/properties" ma:root="true" ma:fieldsID="6b107466cdd95a490eac91d1c80e784d" ns2:_="" ns3:_="">
    <xsd:import namespace="36bbaa85-1daf-498a-acd6-44e583208cbb"/>
    <xsd:import namespace="88916fe3-f742-4c67-ba34-d52f3e03b5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baa85-1daf-498a-acd6-44e58320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84d4cd7-a39b-4460-b33b-417b4461d6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916fe3-f742-4c67-ba34-d52f3e03b5b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80dfeb4-d517-4af2-bf86-bbb1ed0818a8}" ma:internalName="TaxCatchAll" ma:showField="CatchAllData" ma:web="88916fe3-f742-4c67-ba34-d52f3e03b5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bbaa85-1daf-498a-acd6-44e583208cbb">
      <Terms xmlns="http://schemas.microsoft.com/office/infopath/2007/PartnerControls"/>
    </lcf76f155ced4ddcb4097134ff3c332f>
    <TaxCatchAll xmlns="88916fe3-f742-4c67-ba34-d52f3e03b5b1" xsi:nil="true"/>
  </documentManagement>
</p:properties>
</file>

<file path=customXml/itemProps1.xml><?xml version="1.0" encoding="utf-8"?>
<ds:datastoreItem xmlns:ds="http://schemas.openxmlformats.org/officeDocument/2006/customXml" ds:itemID="{A913A9FE-E873-4404-9DB9-C1EE3F4823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bbaa85-1daf-498a-acd6-44e583208cbb"/>
    <ds:schemaRef ds:uri="88916fe3-f742-4c67-ba34-d52f3e03b5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56D3C4-55F7-45EB-AB8B-536DF4BC5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533FDB-6DB6-410A-9212-71C9638E64BB}">
  <ds:schemaRefs>
    <ds:schemaRef ds:uri="36bbaa85-1daf-498a-acd6-44e583208cbb"/>
    <ds:schemaRef ds:uri="http://purl.org/dc/terms/"/>
    <ds:schemaRef ds:uri="http://www.w3.org/XML/1998/namespace"/>
    <ds:schemaRef ds:uri="http://purl.org/dc/dcmitype/"/>
    <ds:schemaRef ds:uri="88916fe3-f742-4c67-ba34-d52f3e03b5b1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baf8218e-b302-4465-a993-4a39c97251b2}" enabled="0" method="" siteId="{baf8218e-b302-4465-a993-4a39c9725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 - 41</vt:lpstr>
      <vt:lpstr>Long - 385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Farinacci, Josiah</dc:creator>
  <cp:lastModifiedBy>Farinacci, Josiah</cp:lastModifiedBy>
  <dcterms:created xsi:type="dcterms:W3CDTF">2026-01-22T02:03:54Z</dcterms:created>
  <dcterms:modified xsi:type="dcterms:W3CDTF">2026-08-06T00:19:44Z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0x0101009BC23A9B9736574994E88EF6318CFCFF</vt:lpwstr>
  </property>
  <property fmtid="{D5CDD505-2E9C-101B-9397-08002B2CF9AE}" pid="3" name="MediaServiceImageTags">
    <vt:lpwstr/>
  </property>
</Properties>
</file>